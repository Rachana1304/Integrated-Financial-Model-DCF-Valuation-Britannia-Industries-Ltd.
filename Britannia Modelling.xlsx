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MODELLING\"/>
    </mc:Choice>
  </mc:AlternateContent>
  <bookViews>
    <workbookView xWindow="0" yWindow="0" windowWidth="15345" windowHeight="4545"/>
  </bookViews>
  <sheets>
    <sheet name="cover page" sheetId="6" r:id="rId1"/>
    <sheet name="Assumptions" sheetId="1" r:id="rId2"/>
    <sheet name="Income Statement" sheetId="2" r:id="rId3"/>
    <sheet name="Cash Flow" sheetId="3" r:id="rId4"/>
    <sheet name="Balance Sheet" sheetId="4" r:id="rId5"/>
    <sheet name="DCF Valution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5" l="1"/>
  <c r="G15" i="5"/>
  <c r="G13" i="5"/>
  <c r="G11" i="5"/>
  <c r="C8" i="5"/>
  <c r="C7" i="5"/>
  <c r="J15" i="3"/>
  <c r="J14" i="3"/>
  <c r="J7" i="3"/>
  <c r="E27" i="4"/>
  <c r="D26" i="4"/>
  <c r="J6" i="4"/>
  <c r="J23" i="4"/>
  <c r="J11" i="4"/>
  <c r="J7" i="4"/>
  <c r="J23" i="2"/>
  <c r="J7" i="2"/>
  <c r="J5" i="2"/>
  <c r="D10" i="4"/>
  <c r="D24" i="2"/>
  <c r="D21" i="2"/>
  <c r="D20" i="2"/>
  <c r="E16" i="2"/>
  <c r="F16" i="2"/>
  <c r="G16" i="2"/>
  <c r="H16" i="2"/>
  <c r="I16" i="2"/>
  <c r="J16" i="2"/>
  <c r="K16" i="2"/>
  <c r="L16" i="2"/>
  <c r="M16" i="2"/>
  <c r="N16" i="2"/>
  <c r="D16" i="2"/>
  <c r="D15" i="2"/>
  <c r="G9" i="5" l="1"/>
  <c r="F9" i="5"/>
  <c r="C9" i="5"/>
  <c r="G7" i="5"/>
  <c r="F7" i="5"/>
  <c r="E7" i="5"/>
  <c r="D7" i="5"/>
  <c r="E5" i="5"/>
  <c r="E8" i="5" s="1"/>
  <c r="F5" i="5"/>
  <c r="F8" i="5" s="1"/>
  <c r="G5" i="5"/>
  <c r="G8" i="5" s="1"/>
  <c r="F9" i="3"/>
  <c r="G9" i="3"/>
  <c r="H9" i="3"/>
  <c r="I9" i="3"/>
  <c r="L9" i="3"/>
  <c r="M9" i="3"/>
  <c r="N9" i="3"/>
  <c r="E9" i="3"/>
  <c r="K11" i="4"/>
  <c r="L11" i="4" s="1"/>
  <c r="M11" i="4" s="1"/>
  <c r="N11" i="4" s="1"/>
  <c r="K23" i="2"/>
  <c r="L23" i="2"/>
  <c r="M23" i="2"/>
  <c r="N23" i="2"/>
  <c r="J19" i="4"/>
  <c r="K17" i="4"/>
  <c r="L17" i="4"/>
  <c r="M17" i="4"/>
  <c r="N17" i="4"/>
  <c r="J17" i="4"/>
  <c r="E18" i="4"/>
  <c r="F18" i="4"/>
  <c r="G18" i="4"/>
  <c r="H18" i="4"/>
  <c r="I18" i="4"/>
  <c r="D18" i="4"/>
  <c r="K9" i="4"/>
  <c r="L9" i="4"/>
  <c r="M9" i="4"/>
  <c r="N9" i="4"/>
  <c r="J9" i="4"/>
  <c r="E12" i="4"/>
  <c r="I12" i="4"/>
  <c r="G10" i="4"/>
  <c r="H10" i="4"/>
  <c r="N16" i="4"/>
  <c r="M16" i="4"/>
  <c r="L16" i="4"/>
  <c r="L19" i="4" s="1"/>
  <c r="K16" i="4"/>
  <c r="J16" i="4"/>
  <c r="N8" i="4"/>
  <c r="M8" i="4"/>
  <c r="L8" i="4"/>
  <c r="K8" i="4"/>
  <c r="J8" i="4"/>
  <c r="N7" i="4"/>
  <c r="M7" i="4"/>
  <c r="L7" i="4"/>
  <c r="K7" i="4"/>
  <c r="N10" i="3"/>
  <c r="M10" i="3"/>
  <c r="L10" i="3"/>
  <c r="K10" i="3"/>
  <c r="J10" i="3"/>
  <c r="I10" i="3"/>
  <c r="I12" i="3" s="1"/>
  <c r="I15" i="3" s="1"/>
  <c r="H10" i="3"/>
  <c r="H12" i="3" s="1"/>
  <c r="H15" i="3" s="1"/>
  <c r="G10" i="3"/>
  <c r="G12" i="3" s="1"/>
  <c r="G15" i="3" s="1"/>
  <c r="F10" i="3"/>
  <c r="E10" i="3"/>
  <c r="D10" i="3"/>
  <c r="D12" i="3" s="1"/>
  <c r="D15" i="3" s="1"/>
  <c r="J20" i="2"/>
  <c r="K21" i="2"/>
  <c r="L21" i="2"/>
  <c r="M21" i="2"/>
  <c r="N21" i="2"/>
  <c r="J21" i="2"/>
  <c r="I21" i="2"/>
  <c r="K18" i="2"/>
  <c r="K8" i="3" s="1"/>
  <c r="L18" i="2"/>
  <c r="L8" i="3" s="1"/>
  <c r="M18" i="2"/>
  <c r="M8" i="3" s="1"/>
  <c r="N18" i="2"/>
  <c r="J18" i="2"/>
  <c r="J8" i="3" s="1"/>
  <c r="K13" i="2"/>
  <c r="L13" i="2"/>
  <c r="M13" i="2"/>
  <c r="N13" i="2"/>
  <c r="J13" i="2"/>
  <c r="K11" i="2"/>
  <c r="L11" i="2"/>
  <c r="M11" i="2"/>
  <c r="N11" i="2"/>
  <c r="J11" i="2"/>
  <c r="K7" i="2"/>
  <c r="L7" i="2"/>
  <c r="M7" i="2"/>
  <c r="N7" i="2"/>
  <c r="K5" i="2"/>
  <c r="L5" i="2"/>
  <c r="M5" i="2" s="1"/>
  <c r="G26" i="4"/>
  <c r="E24" i="2"/>
  <c r="F24" i="2"/>
  <c r="G24" i="2"/>
  <c r="H24" i="2"/>
  <c r="I24" i="2"/>
  <c r="E26" i="2"/>
  <c r="F26" i="2"/>
  <c r="G26" i="2"/>
  <c r="H26" i="2"/>
  <c r="I26" i="2"/>
  <c r="D26" i="2"/>
  <c r="E21" i="2"/>
  <c r="F21" i="2"/>
  <c r="G21" i="2"/>
  <c r="H21" i="2"/>
  <c r="E19" i="2"/>
  <c r="F19" i="2"/>
  <c r="G19" i="2"/>
  <c r="H19" i="2"/>
  <c r="I19" i="2"/>
  <c r="D19" i="2"/>
  <c r="E14" i="2"/>
  <c r="F14" i="2"/>
  <c r="G14" i="2"/>
  <c r="H14" i="2"/>
  <c r="I14" i="2"/>
  <c r="D14" i="2"/>
  <c r="E12" i="2"/>
  <c r="F12" i="2"/>
  <c r="G12" i="2"/>
  <c r="H12" i="2"/>
  <c r="I12" i="2"/>
  <c r="D12" i="2"/>
  <c r="E8" i="2"/>
  <c r="F8" i="2"/>
  <c r="G8" i="2"/>
  <c r="H8" i="2"/>
  <c r="I8" i="2"/>
  <c r="D8" i="2"/>
  <c r="F6" i="2"/>
  <c r="G6" i="2"/>
  <c r="H6" i="2"/>
  <c r="I6" i="2"/>
  <c r="E6" i="2"/>
  <c r="I16" i="4"/>
  <c r="I26" i="4" s="1"/>
  <c r="I15" i="4"/>
  <c r="I19" i="4" s="1"/>
  <c r="I9" i="4"/>
  <c r="I10" i="4" s="1"/>
  <c r="H16" i="4"/>
  <c r="H15" i="4"/>
  <c r="H9" i="4"/>
  <c r="H12" i="4" s="1"/>
  <c r="G16" i="4"/>
  <c r="G15" i="4"/>
  <c r="G9" i="4"/>
  <c r="G12" i="4" s="1"/>
  <c r="F16" i="4"/>
  <c r="F26" i="4" s="1"/>
  <c r="F15" i="4"/>
  <c r="F9" i="4"/>
  <c r="F10" i="4" s="1"/>
  <c r="E16" i="4"/>
  <c r="E26" i="4" s="1"/>
  <c r="E15" i="4"/>
  <c r="E24" i="4"/>
  <c r="F24" i="4"/>
  <c r="G24" i="4"/>
  <c r="H24" i="4"/>
  <c r="I24" i="4"/>
  <c r="E9" i="4"/>
  <c r="E10" i="4" s="1"/>
  <c r="D24" i="4"/>
  <c r="D16" i="4"/>
  <c r="D15" i="4"/>
  <c r="D19" i="4" s="1"/>
  <c r="D9" i="4"/>
  <c r="D12" i="4" s="1"/>
  <c r="E8" i="3"/>
  <c r="F8" i="3"/>
  <c r="G8" i="3"/>
  <c r="H8" i="3"/>
  <c r="I8" i="3"/>
  <c r="N8" i="3"/>
  <c r="D8" i="3"/>
  <c r="D7" i="3"/>
  <c r="D25" i="2"/>
  <c r="I15" i="2"/>
  <c r="I20" i="2" s="1"/>
  <c r="I25" i="2" s="1"/>
  <c r="I7" i="3" s="1"/>
  <c r="E9" i="2"/>
  <c r="E15" i="2" s="1"/>
  <c r="E20" i="2" s="1"/>
  <c r="E25" i="2" s="1"/>
  <c r="E7" i="3" s="1"/>
  <c r="F9" i="2"/>
  <c r="F15" i="2" s="1"/>
  <c r="F20" i="2" s="1"/>
  <c r="F25" i="2" s="1"/>
  <c r="F7" i="3" s="1"/>
  <c r="G9" i="2"/>
  <c r="G15" i="2" s="1"/>
  <c r="G20" i="2" s="1"/>
  <c r="G25" i="2" s="1"/>
  <c r="G7" i="3" s="1"/>
  <c r="H9" i="2"/>
  <c r="H15" i="2" s="1"/>
  <c r="H20" i="2" s="1"/>
  <c r="H25" i="2" s="1"/>
  <c r="H7" i="3" s="1"/>
  <c r="I9" i="2"/>
  <c r="D9" i="2"/>
  <c r="F12" i="3" l="1"/>
  <c r="F15" i="3" s="1"/>
  <c r="E12" i="3"/>
  <c r="E15" i="3" s="1"/>
  <c r="G19" i="4"/>
  <c r="F27" i="4"/>
  <c r="G27" i="4"/>
  <c r="F12" i="4"/>
  <c r="M19" i="4"/>
  <c r="K19" i="4"/>
  <c r="N19" i="4"/>
  <c r="K6" i="4"/>
  <c r="L6" i="4" s="1"/>
  <c r="M6" i="4" s="1"/>
  <c r="M12" i="4" s="1"/>
  <c r="E19" i="4"/>
  <c r="M26" i="4"/>
  <c r="H19" i="4"/>
  <c r="F19" i="4"/>
  <c r="H26" i="4"/>
  <c r="H27" i="4" s="1"/>
  <c r="K26" i="4"/>
  <c r="J26" i="4"/>
  <c r="J27" i="4" s="1"/>
  <c r="J9" i="3" s="1"/>
  <c r="N26" i="4"/>
  <c r="L26" i="4"/>
  <c r="K9" i="2"/>
  <c r="K15" i="2" s="1"/>
  <c r="K20" i="2" s="1"/>
  <c r="K25" i="2" s="1"/>
  <c r="J9" i="2"/>
  <c r="J15" i="2" s="1"/>
  <c r="J25" i="2" s="1"/>
  <c r="M9" i="2"/>
  <c r="M15" i="2" s="1"/>
  <c r="M20" i="2" s="1"/>
  <c r="M25" i="2" s="1"/>
  <c r="N5" i="2"/>
  <c r="N9" i="2" s="1"/>
  <c r="N15" i="2" s="1"/>
  <c r="N20" i="2" s="1"/>
  <c r="N25" i="2" s="1"/>
  <c r="L9" i="2"/>
  <c r="L15" i="2" s="1"/>
  <c r="L20" i="2" s="1"/>
  <c r="L25" i="2" s="1"/>
  <c r="M27" i="4" l="1"/>
  <c r="L7" i="3"/>
  <c r="L12" i="3" s="1"/>
  <c r="L26" i="2"/>
  <c r="N7" i="3"/>
  <c r="N12" i="3" s="1"/>
  <c r="N26" i="2"/>
  <c r="M7" i="3"/>
  <c r="M12" i="3" s="1"/>
  <c r="M26" i="2"/>
  <c r="J26" i="2"/>
  <c r="J12" i="3"/>
  <c r="K7" i="3"/>
  <c r="K26" i="2"/>
  <c r="K12" i="4"/>
  <c r="L12" i="4"/>
  <c r="N27" i="4"/>
  <c r="I27" i="4"/>
  <c r="L27" i="4"/>
  <c r="K27" i="4"/>
  <c r="K9" i="3" s="1"/>
  <c r="N6" i="4"/>
  <c r="N12" i="4" s="1"/>
  <c r="K12" i="3" l="1"/>
  <c r="K14" i="3"/>
  <c r="C5" i="5"/>
  <c r="D9" i="5"/>
  <c r="K23" i="4"/>
  <c r="J24" i="4"/>
  <c r="K15" i="3"/>
  <c r="L14" i="3" s="1"/>
  <c r="L15" i="3" s="1"/>
  <c r="M14" i="3" s="1"/>
  <c r="M15" i="3" s="1"/>
  <c r="N14" i="3" s="1"/>
  <c r="N15" i="3" s="1"/>
  <c r="E9" i="5" l="1"/>
  <c r="D5" i="5"/>
  <c r="D8" i="5" s="1"/>
  <c r="K24" i="4"/>
  <c r="L23" i="4"/>
  <c r="M23" i="4" l="1"/>
  <c r="L24" i="4"/>
  <c r="M24" i="4" l="1"/>
  <c r="N23" i="4"/>
  <c r="N24" i="4" s="1"/>
  <c r="J12" i="4" l="1"/>
</calcChain>
</file>

<file path=xl/sharedStrings.xml><?xml version="1.0" encoding="utf-8"?>
<sst xmlns="http://schemas.openxmlformats.org/spreadsheetml/2006/main" count="140" uniqueCount="111">
  <si>
    <t>Revenue</t>
  </si>
  <si>
    <t>(-) COGS</t>
  </si>
  <si>
    <t>(-) Employee Expense</t>
  </si>
  <si>
    <t>(-) Other Expense</t>
  </si>
  <si>
    <t>(-) Depreciation</t>
  </si>
  <si>
    <t>(-) Tax</t>
  </si>
  <si>
    <t>Gross Profit</t>
  </si>
  <si>
    <t>EBITDA</t>
  </si>
  <si>
    <t>EBIT</t>
  </si>
  <si>
    <t>PAT (Net Income)</t>
  </si>
  <si>
    <t>EBITDA Margin %</t>
  </si>
  <si>
    <t>Revenue Growth %</t>
  </si>
  <si>
    <t>COGS %</t>
  </si>
  <si>
    <t>Employee Expense %</t>
  </si>
  <si>
    <t>Other Expense %</t>
  </si>
  <si>
    <t>Depreciation %</t>
  </si>
  <si>
    <t>EBIT Margin %</t>
  </si>
  <si>
    <t>PAT Margin %</t>
  </si>
  <si>
    <t>Tax Margin %</t>
  </si>
  <si>
    <t>Opening Cash</t>
  </si>
  <si>
    <t>– Change in Working Capital</t>
  </si>
  <si>
    <t>– Capex</t>
  </si>
  <si>
    <t>(+) Depreciation</t>
  </si>
  <si>
    <t>Free Cash Flow</t>
  </si>
  <si>
    <t>(+) Opening Cash</t>
  </si>
  <si>
    <t>Closing Cash</t>
  </si>
  <si>
    <t>PPE</t>
  </si>
  <si>
    <t>Inventory</t>
  </si>
  <si>
    <t>Receivables</t>
  </si>
  <si>
    <t>Other Current + Non-current Assets</t>
  </si>
  <si>
    <t>Total Assets</t>
  </si>
  <si>
    <t xml:space="preserve">Cash </t>
  </si>
  <si>
    <t>Debt (Borrowings + Lease)</t>
  </si>
  <si>
    <t>Payables</t>
  </si>
  <si>
    <t>Other Liabilities</t>
  </si>
  <si>
    <t>Total Liabilities</t>
  </si>
  <si>
    <t>Assets</t>
  </si>
  <si>
    <t>Liabilities</t>
  </si>
  <si>
    <t>Share Capital (constant)</t>
  </si>
  <si>
    <t>Retained Earnings</t>
  </si>
  <si>
    <t>Equity</t>
  </si>
  <si>
    <t>Total Equity</t>
  </si>
  <si>
    <t>FY 2020</t>
  </si>
  <si>
    <t>FY 2021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</si>
  <si>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</si>
  <si>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</si>
  <si>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</si>
  <si>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</si>
  <si>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</si>
  <si>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</si>
  <si>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</si>
  <si>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</si>
  <si>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</si>
  <si>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 xml:space="preserve">BRITANNIA INDUSTRIES </t>
  </si>
  <si>
    <t>Assumptions</t>
  </si>
  <si>
    <t xml:space="preserve">revenue growth % </t>
  </si>
  <si>
    <t>COGS % of Revenue</t>
  </si>
  <si>
    <t>Employee Expense % of Revenue</t>
  </si>
  <si>
    <t>Other Expense % of Revenue</t>
  </si>
  <si>
    <t>Depreciation % of Revenue</t>
  </si>
  <si>
    <t>Tax Rate %</t>
  </si>
  <si>
    <t>Capex %</t>
  </si>
  <si>
    <t>Change In Working Capital %</t>
  </si>
  <si>
    <t>WACC</t>
  </si>
  <si>
    <t>g</t>
  </si>
  <si>
    <t>Receivable Days</t>
  </si>
  <si>
    <t>Inventory Days</t>
  </si>
  <si>
    <t>Payable Days</t>
  </si>
  <si>
    <t>Working Capital</t>
  </si>
  <si>
    <t>Change in Working Cpital</t>
  </si>
  <si>
    <t>Other Current + Non-current Assets %</t>
  </si>
  <si>
    <t>Other Liabilities %</t>
  </si>
  <si>
    <t xml:space="preserve">BALANCE SHEET </t>
  </si>
  <si>
    <t>CASH FLOW</t>
  </si>
  <si>
    <t>PROFIT &amp; LOSS</t>
  </si>
  <si>
    <t>DCF VALUATION</t>
  </si>
  <si>
    <t>FCF</t>
  </si>
  <si>
    <t>DISCOUNT FACTOR</t>
  </si>
  <si>
    <t xml:space="preserve">PV OF FCF </t>
  </si>
  <si>
    <t>PV OF TV</t>
  </si>
  <si>
    <t>TERMINAL VALUE (TV)</t>
  </si>
  <si>
    <t>ENTERPRISE VALUE (EV)</t>
  </si>
  <si>
    <t>EQUITY VALUE</t>
  </si>
  <si>
    <t>SHARE PRICE</t>
  </si>
  <si>
    <t>Integrated Financial Model &amp; DCF Valuation</t>
  </si>
  <si>
    <t>Britannia Industries Ltd.</t>
  </si>
  <si>
    <t>Project Objective</t>
  </si>
  <si>
    <t>To develop an integrated three-statement financial model for Britannia Industries Ltd.</t>
  </si>
  <si>
    <t>using historical financial data and estimate the company's intrinsic value through Discounted Cash Flow (DCF) valuation to support investment decision-making.</t>
  </si>
  <si>
    <t>Financial Period</t>
  </si>
  <si>
    <r>
      <t>Historical Data:</t>
    </r>
    <r>
      <rPr>
        <sz val="11"/>
        <color theme="1"/>
        <rFont val="Calibri"/>
        <family val="2"/>
        <scheme val="minor"/>
      </rPr>
      <t xml:space="preserve"> FY2020 – FY2025</t>
    </r>
  </si>
  <si>
    <r>
      <t>Forecast Period:</t>
    </r>
    <r>
      <rPr>
        <sz val="11"/>
        <color theme="1"/>
        <rFont val="Calibri"/>
        <family val="2"/>
        <scheme val="minor"/>
      </rPr>
      <t xml:space="preserve"> FY2026 – FY2030</t>
    </r>
  </si>
  <si>
    <t>Model Components</t>
  </si>
  <si>
    <t>Income Statement</t>
  </si>
  <si>
    <t>Balance Sheet</t>
  </si>
  <si>
    <t>Cash Flow Statement</t>
  </si>
  <si>
    <t>DCF Valuation</t>
  </si>
  <si>
    <t>Tools &amp; Techniques</t>
  </si>
  <si>
    <t>Microsoft Excel</t>
  </si>
  <si>
    <t>Financial Statement Analysis</t>
  </si>
  <si>
    <t>Three-Statement Financial Modelling</t>
  </si>
  <si>
    <t>Financial Forecasting</t>
  </si>
  <si>
    <t>Discounted Cash Flow (DCF) Valuation</t>
  </si>
  <si>
    <t>Key Deliverables</t>
  </si>
  <si>
    <t>Historical Financial Analysis</t>
  </si>
  <si>
    <t>Forecasted Financial Statements</t>
  </si>
  <si>
    <t>Integrated Three-Statement Financial Model</t>
  </si>
  <si>
    <t>Free Cash Flow (FCF) Estimation</t>
  </si>
  <si>
    <t>Enterprise Value &amp; Equity Valuation</t>
  </si>
  <si>
    <t>Intrinsic Share Price Estimation</t>
  </si>
  <si>
    <t>Market Price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</si>
</sst>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4" fontId="2" fillId="2" borderId="0" xfId="0" applyNumberFormat="1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14" fontId="2" fillId="3" borderId="0" xfId="0" applyNumberFormat="1" applyFont="1" applyFill="1" applyAlignment="1">
      <alignment vertical="center"/>
    </xf>
    <xf numFmtId="0" fontId="3" fillId="0" borderId="0" xfId="0" applyFont="1"/>
    <xf numFmtId="0" fontId="4" fillId="4" borderId="0" xfId="0" applyFont="1" applyFill="1"/>
    <xf numFmtId="4" fontId="0" fillId="0" borderId="0" xfId="0" applyNumberFormat="1"/>
    <xf numFmtId="0" fontId="0" fillId="0" borderId="0" xfId="0" applyBorder="1"/>
    <xf numFmtId="0" fontId="0" fillId="0" borderId="1" xfId="0" applyBorder="1"/>
    <xf numFmtId="4" fontId="0" fillId="0" borderId="0" xfId="0" applyNumberFormat="1" applyBorder="1"/>
    <xf numFmtId="4" fontId="0" fillId="0" borderId="1" xfId="0" applyNumberFormat="1" applyBorder="1"/>
    <xf numFmtId="9" fontId="0" fillId="0" borderId="0" xfId="2" applyFont="1"/>
    <xf numFmtId="9" fontId="0" fillId="0" borderId="0" xfId="2" applyFont="1" applyBorder="1"/>
    <xf numFmtId="9" fontId="0" fillId="0" borderId="1" xfId="2" applyFont="1" applyBorder="1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0" applyNumberFormat="1" applyBorder="1"/>
    <xf numFmtId="2" fontId="0" fillId="0" borderId="1" xfId="0" applyNumberFormat="1" applyBorder="1"/>
    <xf numFmtId="4" fontId="0" fillId="4" borderId="0" xfId="0" applyNumberFormat="1" applyFill="1"/>
    <xf numFmtId="44" fontId="0" fillId="4" borderId="0" xfId="1" applyFont="1" applyFill="1"/>
    <xf numFmtId="12" fontId="0" fillId="0" borderId="0" xfId="0" applyNumberFormat="1"/>
    <xf numFmtId="0" fontId="6" fillId="0" borderId="0" xfId="0" applyFont="1" applyAlignment="1">
      <alignment vertical="center"/>
    </xf>
    <xf numFmtId="0" fontId="5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tabSelected="1" topLeftCell="A2" workbookViewId="0">
      <selection activeCell="M19" sqref="M19"/>
    </sheetView>
  </sheetViews>
  <sheetFormatPr defaultRowHeight="15" x14ac:dyDescent="0.25"/>
  <sheetData>
    <row r="2" spans="1:13" ht="20.25" x14ac:dyDescent="0.25">
      <c r="A2" s="25" t="s">
        <v>84</v>
      </c>
    </row>
    <row r="4" spans="1:13" ht="20.25" x14ac:dyDescent="0.25">
      <c r="A4" s="25" t="s">
        <v>85</v>
      </c>
    </row>
    <row r="7" spans="1:13" x14ac:dyDescent="0.25">
      <c r="A7" t="s">
        <v>86</v>
      </c>
    </row>
    <row r="8" spans="1:13" x14ac:dyDescent="0.25">
      <c r="A8" t="s">
        <v>87</v>
      </c>
    </row>
    <row r="9" spans="1:13" x14ac:dyDescent="0.25">
      <c r="A9" t="s">
        <v>88</v>
      </c>
    </row>
    <row r="12" spans="1:13" x14ac:dyDescent="0.25">
      <c r="A12" t="s">
        <v>89</v>
      </c>
      <c r="H12" t="s">
        <v>97</v>
      </c>
      <c r="M12" t="s">
        <v>103</v>
      </c>
    </row>
    <row r="13" spans="1:13" x14ac:dyDescent="0.25">
      <c r="A13" s="26" t="s">
        <v>90</v>
      </c>
      <c r="H13" t="s">
        <v>98</v>
      </c>
      <c r="M13" t="s">
        <v>104</v>
      </c>
    </row>
    <row r="14" spans="1:13" x14ac:dyDescent="0.25">
      <c r="A14" s="26" t="s">
        <v>91</v>
      </c>
      <c r="H14" t="s">
        <v>99</v>
      </c>
      <c r="M14" t="s">
        <v>105</v>
      </c>
    </row>
    <row r="15" spans="1:13" x14ac:dyDescent="0.25">
      <c r="H15" t="s">
        <v>100</v>
      </c>
      <c r="M15" t="s">
        <v>106</v>
      </c>
    </row>
    <row r="16" spans="1:13" x14ac:dyDescent="0.25">
      <c r="H16" t="s">
        <v>101</v>
      </c>
      <c r="M16" t="s">
        <v>107</v>
      </c>
    </row>
    <row r="17" spans="1:13" x14ac:dyDescent="0.25">
      <c r="A17" t="s">
        <v>92</v>
      </c>
      <c r="H17" t="s">
        <v>102</v>
      </c>
      <c r="M17" t="s">
        <v>108</v>
      </c>
    </row>
    <row r="18" spans="1:13" x14ac:dyDescent="0.25">
      <c r="A18" t="s">
        <v>54</v>
      </c>
      <c r="M18" t="s">
        <v>109</v>
      </c>
    </row>
    <row r="19" spans="1:13" x14ac:dyDescent="0.25">
      <c r="A19" t="s">
        <v>93</v>
      </c>
      <c r="M19" t="s">
        <v>110</v>
      </c>
    </row>
    <row r="20" spans="1:13" x14ac:dyDescent="0.25">
      <c r="A20" t="s">
        <v>94</v>
      </c>
    </row>
    <row r="21" spans="1:13" x14ac:dyDescent="0.25">
      <c r="A21" t="s">
        <v>95</v>
      </c>
    </row>
    <row r="22" spans="1:13" x14ac:dyDescent="0.25">
      <c r="A22" t="s">
        <v>96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topLeftCell="A2" workbookViewId="0">
      <selection activeCell="E24" sqref="E24"/>
    </sheetView>
  </sheetViews>
  <sheetFormatPr defaultRowHeight="15" x14ac:dyDescent="0.25"/>
  <cols>
    <col min="1" max="1" width="30.7109375" customWidth="1"/>
  </cols>
  <sheetData>
    <row r="3" spans="1:3" ht="18.75" x14ac:dyDescent="0.3">
      <c r="A3" s="7" t="s">
        <v>54</v>
      </c>
    </row>
    <row r="4" spans="1:3" x14ac:dyDescent="0.25">
      <c r="A4" t="s">
        <v>55</v>
      </c>
      <c r="C4" s="17">
        <v>0.09</v>
      </c>
    </row>
    <row r="5" spans="1:3" x14ac:dyDescent="0.25">
      <c r="A5" t="s">
        <v>56</v>
      </c>
      <c r="C5" s="17">
        <v>0.53</v>
      </c>
    </row>
    <row r="6" spans="1:3" x14ac:dyDescent="0.25">
      <c r="A6" t="s">
        <v>57</v>
      </c>
      <c r="C6" s="17">
        <v>0.04</v>
      </c>
    </row>
    <row r="7" spans="1:3" x14ac:dyDescent="0.25">
      <c r="A7" t="s">
        <v>58</v>
      </c>
      <c r="C7" s="17">
        <v>0.2</v>
      </c>
    </row>
    <row r="8" spans="1:3" x14ac:dyDescent="0.25">
      <c r="A8" t="s">
        <v>59</v>
      </c>
      <c r="C8" s="17">
        <v>0.02</v>
      </c>
    </row>
    <row r="9" spans="1:3" x14ac:dyDescent="0.25">
      <c r="A9" t="s">
        <v>60</v>
      </c>
      <c r="C9" s="17">
        <v>0.2</v>
      </c>
    </row>
    <row r="10" spans="1:3" x14ac:dyDescent="0.25">
      <c r="A10" t="s">
        <v>61</v>
      </c>
      <c r="C10" s="17">
        <v>0.03</v>
      </c>
    </row>
    <row r="11" spans="1:3" x14ac:dyDescent="0.25">
      <c r="A11" t="s">
        <v>62</v>
      </c>
      <c r="C11" s="17">
        <v>0.02</v>
      </c>
    </row>
    <row r="12" spans="1:3" x14ac:dyDescent="0.25">
      <c r="A12" t="s">
        <v>63</v>
      </c>
      <c r="C12" s="17">
        <v>0.1</v>
      </c>
    </row>
    <row r="13" spans="1:3" x14ac:dyDescent="0.25">
      <c r="A13" t="s">
        <v>64</v>
      </c>
      <c r="C13" s="17">
        <v>0.04</v>
      </c>
    </row>
    <row r="14" spans="1:3" x14ac:dyDescent="0.25">
      <c r="A14" t="s">
        <v>65</v>
      </c>
      <c r="C14" s="19">
        <v>9</v>
      </c>
    </row>
    <row r="15" spans="1:3" x14ac:dyDescent="0.25">
      <c r="A15" t="s">
        <v>66</v>
      </c>
      <c r="C15" s="19">
        <v>43</v>
      </c>
    </row>
    <row r="16" spans="1:3" x14ac:dyDescent="0.25">
      <c r="A16" t="s">
        <v>67</v>
      </c>
      <c r="C16" s="19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80" zoomScaleNormal="80" workbookViewId="0">
      <selection activeCell="J5" sqref="J5"/>
    </sheetView>
  </sheetViews>
  <sheetFormatPr defaultRowHeight="15" x14ac:dyDescent="0.25"/>
  <cols>
    <col min="1" max="1" width="30.7109375" customWidth="1"/>
    <col min="2" max="26" width="10.7109375" customWidth="1"/>
  </cols>
  <sheetData>
    <row r="1" spans="1:15" ht="18.75" x14ac:dyDescent="0.3">
      <c r="A1" s="8" t="s">
        <v>53</v>
      </c>
    </row>
    <row r="2" spans="1:15" x14ac:dyDescent="0.25"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2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</row>
    <row r="3" spans="1:15" ht="18.75" x14ac:dyDescent="0.3">
      <c r="A3" s="7" t="s">
        <v>74</v>
      </c>
      <c r="D3" s="4">
        <v>43921</v>
      </c>
      <c r="E3" s="4">
        <v>44286</v>
      </c>
      <c r="F3" s="4">
        <v>44651</v>
      </c>
      <c r="G3" s="4">
        <v>45016</v>
      </c>
      <c r="H3" s="4">
        <v>45382</v>
      </c>
      <c r="I3" s="5">
        <v>45747</v>
      </c>
      <c r="J3" s="6">
        <v>46112</v>
      </c>
      <c r="K3" s="6">
        <v>46477</v>
      </c>
      <c r="L3" s="6">
        <v>46843</v>
      </c>
      <c r="M3" s="6">
        <v>47208</v>
      </c>
      <c r="N3" s="6">
        <v>47573</v>
      </c>
    </row>
    <row r="4" spans="1:15" x14ac:dyDescent="0.25">
      <c r="D4" s="10"/>
      <c r="E4" s="10"/>
      <c r="F4" s="10"/>
      <c r="G4" s="10"/>
      <c r="H4" s="10"/>
      <c r="I4" s="11"/>
    </row>
    <row r="5" spans="1:15" x14ac:dyDescent="0.25">
      <c r="A5" t="s">
        <v>0</v>
      </c>
      <c r="D5" s="12">
        <v>11443.99</v>
      </c>
      <c r="E5" s="12">
        <v>12883.04</v>
      </c>
      <c r="F5" s="12">
        <v>13944.67</v>
      </c>
      <c r="G5" s="12">
        <v>15984.9</v>
      </c>
      <c r="H5" s="12">
        <v>16546.21</v>
      </c>
      <c r="I5" s="13">
        <v>17535.02</v>
      </c>
      <c r="J5">
        <f>I5*(1+J6)</f>
        <v>18762.471400000002</v>
      </c>
      <c r="K5">
        <f t="shared" ref="K5:N5" si="0">J5*(1+K6)</f>
        <v>20075.844398000005</v>
      </c>
      <c r="L5">
        <f t="shared" si="0"/>
        <v>21681.911949840007</v>
      </c>
      <c r="M5">
        <f t="shared" si="0"/>
        <v>23633.284025325611</v>
      </c>
      <c r="N5">
        <f t="shared" si="0"/>
        <v>25760.279587604917</v>
      </c>
    </row>
    <row r="6" spans="1:15" s="14" customFormat="1" x14ac:dyDescent="0.25">
      <c r="A6" s="14" t="s">
        <v>11</v>
      </c>
      <c r="D6" s="15"/>
      <c r="E6" s="15">
        <f>E5/D5-1</f>
        <v>0.12574722627335411</v>
      </c>
      <c r="F6" s="15">
        <f t="shared" ref="F6:I6" si="1">F5/E5-1</f>
        <v>8.240523975707581E-2</v>
      </c>
      <c r="G6" s="15">
        <f t="shared" si="1"/>
        <v>0.14630894815008166</v>
      </c>
      <c r="H6" s="15">
        <f t="shared" si="1"/>
        <v>3.5115014795213062E-2</v>
      </c>
      <c r="I6" s="16">
        <f t="shared" si="1"/>
        <v>5.9760513132614657E-2</v>
      </c>
      <c r="J6" s="14">
        <v>7.0000000000000007E-2</v>
      </c>
      <c r="K6" s="14">
        <v>7.0000000000000007E-2</v>
      </c>
      <c r="L6" s="14">
        <v>0.08</v>
      </c>
      <c r="M6" s="14">
        <v>0.09</v>
      </c>
      <c r="N6" s="14">
        <v>0.09</v>
      </c>
    </row>
    <row r="7" spans="1:15" x14ac:dyDescent="0.25">
      <c r="A7" t="s">
        <v>1</v>
      </c>
      <c r="D7" s="12">
        <v>5901.16</v>
      </c>
      <c r="E7" s="12">
        <v>6502.33</v>
      </c>
      <c r="F7" s="12">
        <v>7473.97</v>
      </c>
      <c r="G7" s="12">
        <v>8326.7000000000007</v>
      </c>
      <c r="H7" s="12">
        <v>8546.89</v>
      </c>
      <c r="I7" s="13">
        <v>9859.4500000000007</v>
      </c>
      <c r="J7">
        <f>J5*J8</f>
        <v>9944.1098420000017</v>
      </c>
      <c r="K7">
        <f t="shared" ref="K7:N7" si="2">K5*K8</f>
        <v>10640.197530940002</v>
      </c>
      <c r="L7">
        <f t="shared" si="2"/>
        <v>11491.413333415205</v>
      </c>
      <c r="M7">
        <f t="shared" si="2"/>
        <v>12525.640533422575</v>
      </c>
      <c r="N7">
        <f t="shared" si="2"/>
        <v>13652.948181430607</v>
      </c>
    </row>
    <row r="8" spans="1:15" s="14" customFormat="1" x14ac:dyDescent="0.25">
      <c r="A8" s="14" t="s">
        <v>12</v>
      </c>
      <c r="D8" s="15">
        <f>D7/D5</f>
        <v>0.5156558158474448</v>
      </c>
      <c r="E8" s="15">
        <f t="shared" ref="E8:I8" si="3">E7/E5</f>
        <v>0.50472015921707913</v>
      </c>
      <c r="F8" s="15">
        <f t="shared" si="3"/>
        <v>0.53597324282324355</v>
      </c>
      <c r="G8" s="15">
        <f t="shared" si="3"/>
        <v>0.52091035915144923</v>
      </c>
      <c r="H8" s="15">
        <f t="shared" si="3"/>
        <v>0.5165466895440104</v>
      </c>
      <c r="I8" s="16">
        <f t="shared" si="3"/>
        <v>0.56227195634792548</v>
      </c>
      <c r="J8" s="14">
        <v>0.53</v>
      </c>
      <c r="K8" s="14">
        <v>0.53</v>
      </c>
      <c r="L8" s="14">
        <v>0.53</v>
      </c>
      <c r="M8" s="14">
        <v>0.53</v>
      </c>
      <c r="N8" s="14">
        <v>0.53</v>
      </c>
    </row>
    <row r="9" spans="1:15" x14ac:dyDescent="0.25">
      <c r="A9" t="s">
        <v>6</v>
      </c>
      <c r="D9" s="12">
        <f>D5-D7</f>
        <v>5542.83</v>
      </c>
      <c r="E9" s="12">
        <f t="shared" ref="E9:N9" si="4">E5-E7</f>
        <v>6380.7100000000009</v>
      </c>
      <c r="F9" s="12">
        <f t="shared" si="4"/>
        <v>6470.7</v>
      </c>
      <c r="G9" s="12">
        <f t="shared" si="4"/>
        <v>7658.1999999999989</v>
      </c>
      <c r="H9" s="12">
        <f t="shared" si="4"/>
        <v>7999.32</v>
      </c>
      <c r="I9" s="13">
        <f t="shared" si="4"/>
        <v>7675.57</v>
      </c>
      <c r="J9" s="9">
        <f t="shared" si="4"/>
        <v>8818.3615580000005</v>
      </c>
      <c r="K9" s="9">
        <f t="shared" si="4"/>
        <v>9435.6468670600025</v>
      </c>
      <c r="L9" s="9">
        <f t="shared" si="4"/>
        <v>10190.498616424802</v>
      </c>
      <c r="M9" s="9">
        <f t="shared" si="4"/>
        <v>11107.643491903036</v>
      </c>
      <c r="N9" s="9">
        <f t="shared" si="4"/>
        <v>12107.331406174309</v>
      </c>
    </row>
    <row r="10" spans="1:15" x14ac:dyDescent="0.25">
      <c r="D10" s="10"/>
      <c r="E10" s="10"/>
      <c r="F10" s="10"/>
      <c r="G10" s="10"/>
      <c r="H10" s="10"/>
      <c r="I10" s="11"/>
      <c r="O10" s="14"/>
    </row>
    <row r="11" spans="1:15" x14ac:dyDescent="0.25">
      <c r="A11" t="s">
        <v>2</v>
      </c>
      <c r="D11" s="10">
        <v>486.69</v>
      </c>
      <c r="E11" s="10">
        <v>527.38</v>
      </c>
      <c r="F11" s="10">
        <v>542.26</v>
      </c>
      <c r="G11" s="10">
        <v>658.38</v>
      </c>
      <c r="H11" s="10">
        <v>708.7</v>
      </c>
      <c r="I11" s="11">
        <v>704.59</v>
      </c>
      <c r="J11">
        <f>J5*J12</f>
        <v>750.49885600000005</v>
      </c>
      <c r="K11">
        <f t="shared" ref="K11:N11" si="5">K5*K12</f>
        <v>803.03377592000015</v>
      </c>
      <c r="L11">
        <f t="shared" si="5"/>
        <v>867.27647799360034</v>
      </c>
      <c r="M11">
        <f t="shared" si="5"/>
        <v>945.33136101302443</v>
      </c>
      <c r="N11">
        <f t="shared" si="5"/>
        <v>1030.4111835041967</v>
      </c>
    </row>
    <row r="12" spans="1:15" s="14" customFormat="1" x14ac:dyDescent="0.25">
      <c r="A12" s="14" t="s">
        <v>13</v>
      </c>
      <c r="D12" s="15">
        <f>D11/D5</f>
        <v>4.2527999412792214E-2</v>
      </c>
      <c r="E12" s="15">
        <f t="shared" ref="E12:I12" si="6">E11/E5</f>
        <v>4.0935990263167694E-2</v>
      </c>
      <c r="F12" s="15">
        <f t="shared" si="6"/>
        <v>3.8886542313299632E-2</v>
      </c>
      <c r="G12" s="15">
        <f t="shared" si="6"/>
        <v>4.1187620817146185E-2</v>
      </c>
      <c r="H12" s="15">
        <f t="shared" si="6"/>
        <v>4.2831560822689914E-2</v>
      </c>
      <c r="I12" s="16">
        <f t="shared" si="6"/>
        <v>4.018187604006155E-2</v>
      </c>
      <c r="J12" s="14">
        <v>0.04</v>
      </c>
      <c r="K12" s="14">
        <v>0.04</v>
      </c>
      <c r="L12" s="14">
        <v>0.04</v>
      </c>
      <c r="M12" s="14">
        <v>0.04</v>
      </c>
      <c r="N12" s="14">
        <v>0.04</v>
      </c>
    </row>
    <row r="13" spans="1:15" x14ac:dyDescent="0.25">
      <c r="A13" t="s">
        <v>3</v>
      </c>
      <c r="D13" s="12">
        <v>2342.21</v>
      </c>
      <c r="E13" s="12">
        <v>2473.37</v>
      </c>
      <c r="F13" s="12">
        <v>2632.19</v>
      </c>
      <c r="G13" s="12">
        <v>3219.96</v>
      </c>
      <c r="H13" s="12">
        <v>3398.7</v>
      </c>
      <c r="I13" s="13">
        <v>3446.88</v>
      </c>
      <c r="J13">
        <f>J5*J14</f>
        <v>3752.4942800000008</v>
      </c>
      <c r="K13">
        <f t="shared" ref="K13:N13" si="7">K5*K14</f>
        <v>4015.1688796000012</v>
      </c>
      <c r="L13">
        <f t="shared" si="7"/>
        <v>4336.3823899680019</v>
      </c>
      <c r="M13">
        <f t="shared" si="7"/>
        <v>4726.6568050651222</v>
      </c>
      <c r="N13">
        <f t="shared" si="7"/>
        <v>5152.0559175209837</v>
      </c>
    </row>
    <row r="14" spans="1:15" s="14" customFormat="1" x14ac:dyDescent="0.25">
      <c r="A14" s="14" t="s">
        <v>14</v>
      </c>
      <c r="D14" s="15">
        <f>D13/D5</f>
        <v>0.20466725329190258</v>
      </c>
      <c r="E14" s="15">
        <f t="shared" ref="E14:I14" si="8">E13/E5</f>
        <v>0.19198651870986969</v>
      </c>
      <c r="F14" s="15">
        <f t="shared" si="8"/>
        <v>0.18875957623952377</v>
      </c>
      <c r="G14" s="15">
        <f t="shared" si="8"/>
        <v>0.20143760674136216</v>
      </c>
      <c r="H14" s="15">
        <f t="shared" si="8"/>
        <v>0.20540655533805022</v>
      </c>
      <c r="I14" s="16">
        <f t="shared" si="8"/>
        <v>0.19657120436703238</v>
      </c>
      <c r="J14" s="14">
        <v>0.2</v>
      </c>
      <c r="K14" s="14">
        <v>0.2</v>
      </c>
      <c r="L14" s="14">
        <v>0.2</v>
      </c>
      <c r="M14" s="14">
        <v>0.2</v>
      </c>
      <c r="N14" s="14">
        <v>0.2</v>
      </c>
    </row>
    <row r="15" spans="1:15" x14ac:dyDescent="0.25">
      <c r="A15" t="s">
        <v>7</v>
      </c>
      <c r="D15" s="12">
        <f>D9-D11-D13</f>
        <v>2713.9300000000003</v>
      </c>
      <c r="E15" s="12">
        <f t="shared" ref="E15:N15" si="9">E9-E11-E13</f>
        <v>3379.9600000000009</v>
      </c>
      <c r="F15" s="12">
        <f t="shared" si="9"/>
        <v>3296.2499999999995</v>
      </c>
      <c r="G15" s="12">
        <f t="shared" si="9"/>
        <v>3779.8599999999988</v>
      </c>
      <c r="H15" s="12">
        <f t="shared" si="9"/>
        <v>3891.92</v>
      </c>
      <c r="I15" s="13">
        <f t="shared" si="9"/>
        <v>3524.0999999999995</v>
      </c>
      <c r="J15" s="9">
        <f t="shared" si="9"/>
        <v>4315.3684219999996</v>
      </c>
      <c r="K15" s="9">
        <f t="shared" si="9"/>
        <v>4617.4442115400016</v>
      </c>
      <c r="L15" s="9">
        <f t="shared" si="9"/>
        <v>4986.8397484631996</v>
      </c>
      <c r="M15" s="9">
        <f t="shared" si="9"/>
        <v>5435.6553258248896</v>
      </c>
      <c r="N15" s="9">
        <f t="shared" si="9"/>
        <v>5924.864305149129</v>
      </c>
    </row>
    <row r="16" spans="1:15" s="14" customFormat="1" x14ac:dyDescent="0.25">
      <c r="A16" s="14" t="s">
        <v>10</v>
      </c>
      <c r="D16" s="15">
        <f>D15/D5</f>
        <v>0.23714893144786042</v>
      </c>
      <c r="E16" s="15">
        <f t="shared" ref="E16:N16" si="10">E15/E5</f>
        <v>0.26235733180988341</v>
      </c>
      <c r="F16" s="15">
        <f t="shared" si="10"/>
        <v>0.23638063862393299</v>
      </c>
      <c r="G16" s="15">
        <f t="shared" si="10"/>
        <v>0.23646441329004242</v>
      </c>
      <c r="H16" s="15">
        <f t="shared" si="10"/>
        <v>0.23521519429524951</v>
      </c>
      <c r="I16" s="16">
        <f t="shared" si="10"/>
        <v>0.20097496324498057</v>
      </c>
      <c r="J16" s="15">
        <f t="shared" si="10"/>
        <v>0.22999999999999995</v>
      </c>
      <c r="K16" s="15">
        <f t="shared" si="10"/>
        <v>0.23</v>
      </c>
      <c r="L16" s="15">
        <f t="shared" si="10"/>
        <v>0.2299999999999999</v>
      </c>
      <c r="M16" s="15">
        <f t="shared" si="10"/>
        <v>0.22999999999999995</v>
      </c>
      <c r="N16" s="15">
        <f t="shared" si="10"/>
        <v>0.22999999999999993</v>
      </c>
    </row>
    <row r="17" spans="1:14" x14ac:dyDescent="0.25">
      <c r="D17" s="10"/>
      <c r="E17" s="10"/>
      <c r="F17" s="10"/>
      <c r="G17" s="10"/>
      <c r="H17" s="10"/>
      <c r="I17" s="11"/>
    </row>
    <row r="18" spans="1:14" x14ac:dyDescent="0.25">
      <c r="A18" t="s">
        <v>4</v>
      </c>
      <c r="D18" s="10">
        <v>184.81</v>
      </c>
      <c r="E18" s="10">
        <v>197.85</v>
      </c>
      <c r="F18" s="10">
        <v>200.54</v>
      </c>
      <c r="G18" s="10">
        <v>225.91</v>
      </c>
      <c r="H18" s="10">
        <v>300.45999999999998</v>
      </c>
      <c r="I18" s="11">
        <v>313.33999999999997</v>
      </c>
      <c r="J18">
        <f>J5*J19</f>
        <v>375.24942800000002</v>
      </c>
      <c r="K18">
        <f t="shared" ref="K18:N18" si="11">K5*K19</f>
        <v>401.51688796000008</v>
      </c>
      <c r="L18">
        <f t="shared" si="11"/>
        <v>433.63823899680017</v>
      </c>
      <c r="M18">
        <f t="shared" si="11"/>
        <v>472.66568050651222</v>
      </c>
      <c r="N18">
        <f t="shared" si="11"/>
        <v>515.20559175209837</v>
      </c>
    </row>
    <row r="19" spans="1:14" s="14" customFormat="1" x14ac:dyDescent="0.25">
      <c r="A19" s="14" t="s">
        <v>15</v>
      </c>
      <c r="D19" s="15">
        <f>D18/D5</f>
        <v>1.6149087861838399E-2</v>
      </c>
      <c r="E19" s="15">
        <f t="shared" ref="E19:I19" si="12">E18/E5</f>
        <v>1.5357400116742631E-2</v>
      </c>
      <c r="F19" s="15">
        <f t="shared" si="12"/>
        <v>1.4381121962728411E-2</v>
      </c>
      <c r="G19" s="15">
        <f t="shared" si="12"/>
        <v>1.4132712747655599E-2</v>
      </c>
      <c r="H19" s="15">
        <f t="shared" si="12"/>
        <v>1.8158841208953592E-2</v>
      </c>
      <c r="I19" s="16">
        <f t="shared" si="12"/>
        <v>1.7869383667654781E-2</v>
      </c>
      <c r="J19" s="14">
        <v>0.02</v>
      </c>
      <c r="K19" s="14">
        <v>0.02</v>
      </c>
      <c r="L19" s="14">
        <v>0.02</v>
      </c>
      <c r="M19" s="14">
        <v>0.02</v>
      </c>
      <c r="N19" s="14">
        <v>0.02</v>
      </c>
    </row>
    <row r="20" spans="1:14" x14ac:dyDescent="0.25">
      <c r="A20" t="s">
        <v>8</v>
      </c>
      <c r="D20" s="12">
        <f>D15-D18</f>
        <v>2529.1200000000003</v>
      </c>
      <c r="E20" s="12">
        <f t="shared" ref="E20:N20" si="13">E15-E18</f>
        <v>3182.110000000001</v>
      </c>
      <c r="F20" s="12">
        <f t="shared" si="13"/>
        <v>3095.7099999999996</v>
      </c>
      <c r="G20" s="12">
        <f t="shared" si="13"/>
        <v>3553.9499999999989</v>
      </c>
      <c r="H20" s="12">
        <f t="shared" si="13"/>
        <v>3591.46</v>
      </c>
      <c r="I20" s="13">
        <f t="shared" si="13"/>
        <v>3210.7599999999993</v>
      </c>
      <c r="J20" s="9">
        <f>J15-J18</f>
        <v>3940.1189939999995</v>
      </c>
      <c r="K20" s="9">
        <f t="shared" si="13"/>
        <v>4215.927323580001</v>
      </c>
      <c r="L20" s="9">
        <f t="shared" si="13"/>
        <v>4553.2015094663993</v>
      </c>
      <c r="M20" s="9">
        <f t="shared" si="13"/>
        <v>4962.9896453183774</v>
      </c>
      <c r="N20" s="9">
        <f t="shared" si="13"/>
        <v>5409.6587133970306</v>
      </c>
    </row>
    <row r="21" spans="1:14" s="14" customFormat="1" x14ac:dyDescent="0.25">
      <c r="A21" s="14" t="s">
        <v>16</v>
      </c>
      <c r="D21" s="15">
        <f>D20/D5</f>
        <v>0.22099984358602204</v>
      </c>
      <c r="E21" s="15">
        <f t="shared" ref="E21:H21" si="14">E20/E5</f>
        <v>0.2469999316931408</v>
      </c>
      <c r="F21" s="15">
        <f t="shared" si="14"/>
        <v>0.22199951666120457</v>
      </c>
      <c r="G21" s="15">
        <f t="shared" si="14"/>
        <v>0.22233170054238682</v>
      </c>
      <c r="H21" s="15">
        <f t="shared" si="14"/>
        <v>0.21705635308629592</v>
      </c>
      <c r="I21" s="16">
        <f>I20/I5</f>
        <v>0.18310557957732579</v>
      </c>
      <c r="J21" s="14">
        <f>J20/J5</f>
        <v>0.20999999999999994</v>
      </c>
      <c r="K21" s="14">
        <f t="shared" ref="K21:N21" si="15">K20/K5</f>
        <v>0.21</v>
      </c>
      <c r="L21" s="14">
        <f t="shared" si="15"/>
        <v>0.20999999999999991</v>
      </c>
      <c r="M21" s="14">
        <f t="shared" si="15"/>
        <v>0.20999999999999996</v>
      </c>
      <c r="N21" s="14">
        <f t="shared" si="15"/>
        <v>0.20999999999999994</v>
      </c>
    </row>
    <row r="22" spans="1:14" x14ac:dyDescent="0.25">
      <c r="D22" s="10"/>
      <c r="E22" s="10"/>
      <c r="F22" s="10"/>
      <c r="G22" s="10"/>
      <c r="H22" s="10"/>
      <c r="I22" s="11"/>
    </row>
    <row r="23" spans="1:14" x14ac:dyDescent="0.25">
      <c r="A23" t="s">
        <v>5</v>
      </c>
      <c r="D23" s="10">
        <v>450.7</v>
      </c>
      <c r="E23" s="10">
        <v>663.02</v>
      </c>
      <c r="F23" s="10">
        <v>562.35</v>
      </c>
      <c r="G23" s="10">
        <v>716.45</v>
      </c>
      <c r="H23" s="10">
        <v>779.25</v>
      </c>
      <c r="I23" s="11">
        <v>748.71</v>
      </c>
      <c r="J23">
        <f>J20*J24</f>
        <v>788.02379879999989</v>
      </c>
      <c r="K23">
        <f t="shared" ref="K23:N23" si="16">K20*K24</f>
        <v>843.1854647160003</v>
      </c>
      <c r="L23">
        <f t="shared" si="16"/>
        <v>910.64030189327991</v>
      </c>
      <c r="M23">
        <f t="shared" si="16"/>
        <v>992.59792906367556</v>
      </c>
      <c r="N23">
        <f t="shared" si="16"/>
        <v>1081.9317426794062</v>
      </c>
    </row>
    <row r="24" spans="1:14" s="14" customFormat="1" x14ac:dyDescent="0.25">
      <c r="A24" s="14" t="s">
        <v>18</v>
      </c>
      <c r="D24" s="15">
        <f>D23/D20</f>
        <v>0.17820427658632249</v>
      </c>
      <c r="E24" s="15">
        <f t="shared" ref="E24:I24" si="17">E23/E20</f>
        <v>0.20835860482510024</v>
      </c>
      <c r="F24" s="15">
        <f t="shared" si="17"/>
        <v>0.18165461235064012</v>
      </c>
      <c r="G24" s="15">
        <f t="shared" si="17"/>
        <v>0.20159259415579855</v>
      </c>
      <c r="H24" s="15">
        <f t="shared" si="17"/>
        <v>0.21697304160425007</v>
      </c>
      <c r="I24" s="16">
        <f t="shared" si="17"/>
        <v>0.23318778108609806</v>
      </c>
      <c r="J24" s="14">
        <v>0.2</v>
      </c>
      <c r="K24" s="14">
        <v>0.2</v>
      </c>
      <c r="L24" s="14">
        <v>0.2</v>
      </c>
      <c r="M24" s="14">
        <v>0.2</v>
      </c>
      <c r="N24" s="14">
        <v>0.2</v>
      </c>
    </row>
    <row r="25" spans="1:14" x14ac:dyDescent="0.25">
      <c r="A25" t="s">
        <v>9</v>
      </c>
      <c r="D25" s="12">
        <f>D20-D23</f>
        <v>2078.4200000000005</v>
      </c>
      <c r="E25" s="12">
        <f t="shared" ref="E25:N25" si="18">E20-E23</f>
        <v>2519.0900000000011</v>
      </c>
      <c r="F25" s="12">
        <f t="shared" si="18"/>
        <v>2533.3599999999997</v>
      </c>
      <c r="G25" s="12">
        <f t="shared" si="18"/>
        <v>2837.4999999999991</v>
      </c>
      <c r="H25" s="12">
        <f t="shared" si="18"/>
        <v>2812.21</v>
      </c>
      <c r="I25" s="13">
        <f t="shared" si="18"/>
        <v>2462.0499999999993</v>
      </c>
      <c r="J25" s="9">
        <f t="shared" si="18"/>
        <v>3152.0951951999996</v>
      </c>
      <c r="K25" s="9">
        <f t="shared" si="18"/>
        <v>3372.7418588640007</v>
      </c>
      <c r="L25" s="9">
        <f t="shared" si="18"/>
        <v>3642.5612075731196</v>
      </c>
      <c r="M25" s="9">
        <f t="shared" si="18"/>
        <v>3970.3917162547018</v>
      </c>
      <c r="N25" s="9">
        <f t="shared" si="18"/>
        <v>4327.7269707176247</v>
      </c>
    </row>
    <row r="26" spans="1:14" s="14" customFormat="1" x14ac:dyDescent="0.25">
      <c r="A26" s="14" t="s">
        <v>17</v>
      </c>
      <c r="D26" s="15">
        <f>D25/D5</f>
        <v>0.18161672633408457</v>
      </c>
      <c r="E26" s="15">
        <f t="shared" ref="E26:J26" si="19">E25/E5</f>
        <v>0.19553537053366293</v>
      </c>
      <c r="F26" s="15">
        <f t="shared" si="19"/>
        <v>0.181672280520084</v>
      </c>
      <c r="G26" s="15">
        <f t="shared" si="19"/>
        <v>0.17751127626697691</v>
      </c>
      <c r="H26" s="15">
        <f t="shared" si="19"/>
        <v>0.16996097595763623</v>
      </c>
      <c r="I26" s="16">
        <f t="shared" si="19"/>
        <v>0.14040759577120523</v>
      </c>
      <c r="J26" s="15">
        <f t="shared" si="19"/>
        <v>0.16799999999999995</v>
      </c>
      <c r="K26" s="15">
        <f t="shared" ref="K26" si="20">K25/K5</f>
        <v>0.16800000000000001</v>
      </c>
      <c r="L26" s="15">
        <f t="shared" ref="L26" si="21">L25/L5</f>
        <v>0.16799999999999993</v>
      </c>
      <c r="M26" s="15">
        <f t="shared" ref="M26" si="22">M25/M5</f>
        <v>0.16799999999999995</v>
      </c>
      <c r="N26" s="15">
        <f t="shared" ref="N26" si="23">N25/N5</f>
        <v>0.16799999999999995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"/>
  <sheetViews>
    <sheetView topLeftCell="A2" workbookViewId="0">
      <selection activeCell="D24" sqref="D24"/>
    </sheetView>
  </sheetViews>
  <sheetFormatPr defaultRowHeight="15" x14ac:dyDescent="0.25"/>
  <cols>
    <col min="1" max="1" width="30.7109375" customWidth="1"/>
    <col min="2" max="26" width="10.7109375" customWidth="1"/>
  </cols>
  <sheetData>
    <row r="2" spans="1:14" x14ac:dyDescent="0.25"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2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</row>
    <row r="3" spans="1:14" ht="18.75" x14ac:dyDescent="0.3">
      <c r="A3" s="7" t="s">
        <v>73</v>
      </c>
      <c r="D3" s="4">
        <v>43921</v>
      </c>
      <c r="E3" s="4">
        <v>44286</v>
      </c>
      <c r="F3" s="4">
        <v>44651</v>
      </c>
      <c r="G3" s="4">
        <v>45016</v>
      </c>
      <c r="H3" s="4">
        <v>45382</v>
      </c>
      <c r="I3" s="5">
        <v>45747</v>
      </c>
      <c r="J3" s="6">
        <v>46112</v>
      </c>
      <c r="K3" s="6">
        <v>46477</v>
      </c>
      <c r="L3" s="6">
        <v>46843</v>
      </c>
      <c r="M3" s="6">
        <v>47208</v>
      </c>
      <c r="N3" s="6">
        <v>47573</v>
      </c>
    </row>
    <row r="4" spans="1:14" x14ac:dyDescent="0.25">
      <c r="D4" s="10"/>
      <c r="E4" s="10"/>
      <c r="F4" s="10"/>
      <c r="G4" s="10"/>
      <c r="H4" s="10"/>
      <c r="I4" s="11"/>
    </row>
    <row r="5" spans="1:14" x14ac:dyDescent="0.25">
      <c r="A5" t="s">
        <v>19</v>
      </c>
      <c r="D5" s="20"/>
      <c r="E5" s="20"/>
      <c r="F5" s="20"/>
      <c r="G5" s="20"/>
      <c r="H5" s="20"/>
      <c r="I5" s="21"/>
      <c r="J5" s="18"/>
      <c r="K5" s="18"/>
      <c r="L5" s="18"/>
      <c r="M5" s="18"/>
      <c r="N5" s="18"/>
    </row>
    <row r="6" spans="1:14" x14ac:dyDescent="0.25">
      <c r="D6" s="20"/>
      <c r="E6" s="20"/>
      <c r="F6" s="20"/>
      <c r="G6" s="20"/>
      <c r="H6" s="20"/>
      <c r="I6" s="21"/>
      <c r="J6" s="18"/>
      <c r="K6" s="18"/>
      <c r="L6" s="18"/>
      <c r="M6" s="18"/>
      <c r="N6" s="18"/>
    </row>
    <row r="7" spans="1:14" x14ac:dyDescent="0.25">
      <c r="A7" t="s">
        <v>9</v>
      </c>
      <c r="D7" s="20">
        <f>'Income Statement'!D25</f>
        <v>2078.4200000000005</v>
      </c>
      <c r="E7" s="20">
        <f>'Income Statement'!E25</f>
        <v>2519.0900000000011</v>
      </c>
      <c r="F7" s="20">
        <f>'Income Statement'!F25</f>
        <v>2533.3599999999997</v>
      </c>
      <c r="G7" s="20">
        <f>'Income Statement'!G25</f>
        <v>2837.4999999999991</v>
      </c>
      <c r="H7" s="20">
        <f>'Income Statement'!H25</f>
        <v>2812.21</v>
      </c>
      <c r="I7" s="21">
        <f>'Income Statement'!I25</f>
        <v>2462.0499999999993</v>
      </c>
      <c r="J7" s="18">
        <f>'Income Statement'!J25</f>
        <v>3152.0951951999996</v>
      </c>
      <c r="K7" s="18">
        <f>'Income Statement'!K25</f>
        <v>3372.7418588640007</v>
      </c>
      <c r="L7" s="18">
        <f>'Income Statement'!L25</f>
        <v>3642.5612075731196</v>
      </c>
      <c r="M7" s="18">
        <f>'Income Statement'!M25</f>
        <v>3970.3917162547018</v>
      </c>
      <c r="N7" s="18">
        <f>'Income Statement'!N25</f>
        <v>4327.7269707176247</v>
      </c>
    </row>
    <row r="8" spans="1:14" x14ac:dyDescent="0.25">
      <c r="A8" t="s">
        <v>22</v>
      </c>
      <c r="D8" s="20">
        <f>'Income Statement'!D18</f>
        <v>184.81</v>
      </c>
      <c r="E8" s="20">
        <f>'Income Statement'!E18</f>
        <v>197.85</v>
      </c>
      <c r="F8" s="20">
        <f>'Income Statement'!F18</f>
        <v>200.54</v>
      </c>
      <c r="G8" s="20">
        <f>'Income Statement'!G18</f>
        <v>225.91</v>
      </c>
      <c r="H8" s="20">
        <f>'Income Statement'!H18</f>
        <v>300.45999999999998</v>
      </c>
      <c r="I8" s="21">
        <f>'Income Statement'!I18</f>
        <v>313.33999999999997</v>
      </c>
      <c r="J8" s="18">
        <f>'Income Statement'!J18</f>
        <v>375.24942800000002</v>
      </c>
      <c r="K8" s="18">
        <f>'Income Statement'!K18</f>
        <v>401.51688796000008</v>
      </c>
      <c r="L8" s="18">
        <f>'Income Statement'!L18</f>
        <v>433.63823899680017</v>
      </c>
      <c r="M8" s="18">
        <f>'Income Statement'!M18</f>
        <v>472.66568050651222</v>
      </c>
      <c r="N8" s="18">
        <f>'Income Statement'!N18</f>
        <v>515.20559175209837</v>
      </c>
    </row>
    <row r="9" spans="1:14" x14ac:dyDescent="0.25">
      <c r="A9" t="s">
        <v>20</v>
      </c>
      <c r="D9" s="20"/>
      <c r="E9" s="20">
        <f>'Balance Sheet'!E27</f>
        <v>88.9699999999998</v>
      </c>
      <c r="F9" s="20">
        <f>'Balance Sheet'!F27</f>
        <v>380.19000000000005</v>
      </c>
      <c r="G9" s="20">
        <f>'Balance Sheet'!G27</f>
        <v>-340.81000000000017</v>
      </c>
      <c r="H9" s="20">
        <f>'Balance Sheet'!H27</f>
        <v>-126.31999999999994</v>
      </c>
      <c r="I9" s="21">
        <f>'Balance Sheet'!I27</f>
        <v>-14.180000000000064</v>
      </c>
      <c r="J9" s="20">
        <f>'Balance Sheet'!J27</f>
        <v>66.595959687671666</v>
      </c>
      <c r="K9" s="20">
        <f>'Balance Sheet'!K27</f>
        <v>-3.5982821863399295E-2</v>
      </c>
      <c r="L9" s="20">
        <f>'Balance Sheet'!L27</f>
        <v>-4.4001850735185144E-2</v>
      </c>
      <c r="M9" s="20">
        <f>'Balance Sheet'!M27</f>
        <v>-5.3462248643199928E-2</v>
      </c>
      <c r="N9" s="20">
        <f>'Balance Sheet'!N27</f>
        <v>-5.827385102156768E-2</v>
      </c>
    </row>
    <row r="10" spans="1:14" x14ac:dyDescent="0.25">
      <c r="A10" t="s">
        <v>21</v>
      </c>
      <c r="D10" s="20">
        <f>'Income Statement'!D5*Assumptions!C10</f>
        <v>343.31969999999995</v>
      </c>
      <c r="E10" s="20">
        <f>'Income Statement'!E5*Assumptions!C10</f>
        <v>386.49119999999999</v>
      </c>
      <c r="F10" s="20">
        <f>'Income Statement'!F5*Assumptions!C10</f>
        <v>418.34010000000001</v>
      </c>
      <c r="G10" s="20">
        <f>'Income Statement'!G5*Assumptions!C10</f>
        <v>479.54699999999997</v>
      </c>
      <c r="H10" s="20">
        <f>'Income Statement'!H5*Assumptions!C10</f>
        <v>496.38629999999995</v>
      </c>
      <c r="I10" s="21">
        <f>'Income Statement'!I5*Assumptions!C10</f>
        <v>526.05060000000003</v>
      </c>
      <c r="J10" s="18">
        <f>'Income Statement'!J5*Assumptions!C10</f>
        <v>562.87414200000001</v>
      </c>
      <c r="K10" s="18">
        <f>'Income Statement'!K5*Assumptions!C10</f>
        <v>602.27533194000011</v>
      </c>
      <c r="L10" s="18">
        <f>'Income Statement'!L5*Assumptions!C10</f>
        <v>650.4573584952002</v>
      </c>
      <c r="M10" s="18">
        <f>'Income Statement'!M5*Assumptions!C10</f>
        <v>708.99852075976833</v>
      </c>
      <c r="N10" s="18">
        <f>'Income Statement'!N5*Assumptions!C10</f>
        <v>772.80838762814744</v>
      </c>
    </row>
    <row r="11" spans="1:14" x14ac:dyDescent="0.25">
      <c r="D11" s="20"/>
      <c r="E11" s="20"/>
      <c r="F11" s="20"/>
      <c r="G11" s="20"/>
      <c r="H11" s="20"/>
      <c r="I11" s="21"/>
      <c r="J11" s="18"/>
      <c r="K11" s="18"/>
      <c r="L11" s="18"/>
      <c r="M11" s="18"/>
      <c r="N11" s="18"/>
    </row>
    <row r="12" spans="1:14" x14ac:dyDescent="0.25">
      <c r="A12" t="s">
        <v>23</v>
      </c>
      <c r="D12" s="20">
        <f>D7+D8-D9-D10</f>
        <v>1919.9103000000005</v>
      </c>
      <c r="E12" s="20">
        <f t="shared" ref="E12:I12" si="0">E7+E8-E9-E10</f>
        <v>2241.4788000000012</v>
      </c>
      <c r="F12" s="20">
        <f t="shared" si="0"/>
        <v>1935.3698999999997</v>
      </c>
      <c r="G12" s="20">
        <f t="shared" si="0"/>
        <v>2924.6729999999993</v>
      </c>
      <c r="H12" s="20">
        <f t="shared" si="0"/>
        <v>2742.6036999999997</v>
      </c>
      <c r="I12" s="21">
        <f t="shared" si="0"/>
        <v>2263.5193999999997</v>
      </c>
      <c r="J12" s="18">
        <f>'Income Statement'!J25+'Cash Flow'!J8-'Cash Flow'!J9-'Cash Flow'!J10</f>
        <v>2897.8745215123276</v>
      </c>
      <c r="K12" s="18">
        <f t="shared" ref="K12:N12" si="1">K7+K8-K9-K10</f>
        <v>3172.0193977058643</v>
      </c>
      <c r="L12" s="18">
        <f t="shared" si="1"/>
        <v>3425.7860899254547</v>
      </c>
      <c r="M12" s="18">
        <f t="shared" si="1"/>
        <v>3734.1123382500891</v>
      </c>
      <c r="N12" s="18">
        <f t="shared" si="1"/>
        <v>4070.1824486925975</v>
      </c>
    </row>
    <row r="13" spans="1:14" x14ac:dyDescent="0.25">
      <c r="D13" s="20"/>
      <c r="E13" s="20"/>
      <c r="F13" s="20"/>
      <c r="G13" s="20"/>
      <c r="H13" s="20"/>
      <c r="I13" s="21"/>
      <c r="J13" s="18"/>
      <c r="K13" s="18"/>
      <c r="L13" s="18"/>
      <c r="M13" s="18"/>
      <c r="N13" s="18"/>
    </row>
    <row r="14" spans="1:14" x14ac:dyDescent="0.25">
      <c r="A14" t="s">
        <v>24</v>
      </c>
      <c r="D14" s="20">
        <v>81.13</v>
      </c>
      <c r="E14" s="20">
        <v>789.02</v>
      </c>
      <c r="F14" s="20">
        <v>762.32</v>
      </c>
      <c r="G14" s="20">
        <v>1459.43</v>
      </c>
      <c r="H14" s="20">
        <v>1678.84</v>
      </c>
      <c r="I14" s="21">
        <v>1771.87</v>
      </c>
      <c r="J14" s="18">
        <f>I15</f>
        <v>4035.3893999999996</v>
      </c>
      <c r="K14" s="18">
        <f t="shared" ref="K14:N14" si="2">J15</f>
        <v>6933.2639215123272</v>
      </c>
      <c r="L14" s="18">
        <f t="shared" si="2"/>
        <v>10105.283319218192</v>
      </c>
      <c r="M14" s="18">
        <f t="shared" si="2"/>
        <v>13531.069409143645</v>
      </c>
      <c r="N14" s="18">
        <f t="shared" si="2"/>
        <v>17265.181747393734</v>
      </c>
    </row>
    <row r="15" spans="1:14" x14ac:dyDescent="0.25">
      <c r="A15" t="s">
        <v>25</v>
      </c>
      <c r="D15" s="20">
        <f>D12+D14</f>
        <v>2001.0403000000006</v>
      </c>
      <c r="E15" s="20">
        <f t="shared" ref="E15:I15" si="3">E12+E14</f>
        <v>3030.4988000000012</v>
      </c>
      <c r="F15" s="20">
        <f t="shared" si="3"/>
        <v>2697.6898999999999</v>
      </c>
      <c r="G15" s="20">
        <f t="shared" si="3"/>
        <v>4384.1029999999992</v>
      </c>
      <c r="H15" s="20">
        <f t="shared" si="3"/>
        <v>4421.4436999999998</v>
      </c>
      <c r="I15" s="21">
        <f t="shared" si="3"/>
        <v>4035.3893999999996</v>
      </c>
      <c r="J15" s="18">
        <f>J12+J14</f>
        <v>6933.2639215123272</v>
      </c>
      <c r="K15" s="18">
        <f t="shared" ref="K15:N15" si="4">K12+K14</f>
        <v>10105.283319218192</v>
      </c>
      <c r="L15" s="18">
        <f t="shared" si="4"/>
        <v>13531.069409143645</v>
      </c>
      <c r="M15" s="18">
        <f t="shared" si="4"/>
        <v>17265.181747393734</v>
      </c>
      <c r="N15" s="18">
        <f t="shared" si="4"/>
        <v>21335.364196086332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7"/>
  <sheetViews>
    <sheetView topLeftCell="A2" zoomScale="80" zoomScaleNormal="80" workbookViewId="0">
      <selection activeCell="F29" sqref="F29"/>
    </sheetView>
  </sheetViews>
  <sheetFormatPr defaultRowHeight="15" x14ac:dyDescent="0.25"/>
  <cols>
    <col min="1" max="1" width="35.7109375" customWidth="1"/>
    <col min="2" max="26" width="10.7109375" customWidth="1"/>
  </cols>
  <sheetData>
    <row r="2" spans="1:15" x14ac:dyDescent="0.25"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2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</row>
    <row r="3" spans="1:15" ht="18.75" x14ac:dyDescent="0.3">
      <c r="A3" s="7" t="s">
        <v>72</v>
      </c>
      <c r="D3" s="4">
        <v>43921</v>
      </c>
      <c r="E3" s="4">
        <v>44286</v>
      </c>
      <c r="F3" s="4">
        <v>44651</v>
      </c>
      <c r="G3" s="4">
        <v>45016</v>
      </c>
      <c r="H3" s="4">
        <v>45382</v>
      </c>
      <c r="I3" s="5">
        <v>45747</v>
      </c>
      <c r="J3" s="6">
        <v>46112</v>
      </c>
      <c r="K3" s="6">
        <v>46477</v>
      </c>
      <c r="L3" s="6">
        <v>46843</v>
      </c>
      <c r="M3" s="6">
        <v>47208</v>
      </c>
      <c r="N3" s="6">
        <v>47573</v>
      </c>
    </row>
    <row r="4" spans="1:15" x14ac:dyDescent="0.25">
      <c r="D4" s="12"/>
      <c r="E4" s="12"/>
      <c r="F4" s="12"/>
      <c r="G4" s="12"/>
      <c r="H4" s="12"/>
      <c r="I4" s="13"/>
      <c r="J4" s="9"/>
      <c r="K4" s="9"/>
      <c r="L4" s="9"/>
      <c r="M4" s="9"/>
      <c r="N4" s="9"/>
    </row>
    <row r="5" spans="1:15" x14ac:dyDescent="0.25">
      <c r="A5" t="s">
        <v>36</v>
      </c>
      <c r="C5" s="14"/>
      <c r="D5" s="12"/>
      <c r="E5" s="12"/>
      <c r="F5" s="12"/>
      <c r="G5" s="12"/>
      <c r="H5" s="12"/>
      <c r="I5" s="13"/>
      <c r="J5" s="9"/>
      <c r="K5" s="9"/>
      <c r="L5" s="9"/>
      <c r="M5" s="9"/>
      <c r="N5" s="9"/>
    </row>
    <row r="6" spans="1:15" x14ac:dyDescent="0.25">
      <c r="A6" t="s">
        <v>26</v>
      </c>
      <c r="C6" s="14"/>
      <c r="D6" s="12">
        <v>1716.37</v>
      </c>
      <c r="E6" s="12">
        <v>1634.3</v>
      </c>
      <c r="F6" s="12">
        <v>1584.05</v>
      </c>
      <c r="G6" s="12">
        <v>2472.19</v>
      </c>
      <c r="H6" s="12">
        <v>2602.94</v>
      </c>
      <c r="I6" s="13">
        <v>2734.61</v>
      </c>
      <c r="J6" s="9">
        <f>I6+'Cash Flow'!J10-'Cash Flow'!J8</f>
        <v>2922.2347140000002</v>
      </c>
      <c r="K6" s="9">
        <f>J6+'Cash Flow'!K10-'Cash Flow'!K8</f>
        <v>3122.99315798</v>
      </c>
      <c r="L6" s="9">
        <f>K6+'Cash Flow'!L10-'Cash Flow'!L8</f>
        <v>3339.8122774783997</v>
      </c>
      <c r="M6" s="9">
        <f>L6+'Cash Flow'!M10-'Cash Flow'!M8</f>
        <v>3576.1451177316558</v>
      </c>
      <c r="N6" s="9">
        <f>M6+'Cash Flow'!N10-'Cash Flow'!N8</f>
        <v>3833.7479136077045</v>
      </c>
    </row>
    <row r="7" spans="1:15" x14ac:dyDescent="0.25">
      <c r="A7" t="s">
        <v>27</v>
      </c>
      <c r="C7" s="14"/>
      <c r="D7" s="12">
        <v>740.96</v>
      </c>
      <c r="E7" s="12">
        <v>1091.49</v>
      </c>
      <c r="F7" s="12">
        <v>1367.49</v>
      </c>
      <c r="G7" s="12">
        <v>1193.26</v>
      </c>
      <c r="H7" s="12">
        <v>1181.22</v>
      </c>
      <c r="I7" s="13">
        <v>1236.51</v>
      </c>
      <c r="J7" s="9">
        <f>'Income Statement'!J7*(Assumptions!C15/365)</f>
        <v>1171.4978717972606</v>
      </c>
      <c r="K7" s="9">
        <f>'Income Statement'!K7*(Assumptions!C15/365)</f>
        <v>1253.5027228230688</v>
      </c>
      <c r="L7" s="9">
        <f>'Income Statement'!L7*(Assumptions!C15/365)</f>
        <v>1353.7829406489145</v>
      </c>
      <c r="M7" s="9">
        <f>'Income Statement'!M7*(Assumptions!C15/365)</f>
        <v>1475.6234053073169</v>
      </c>
      <c r="N7" s="9">
        <f>'Income Statement'!N7*(Assumptions!C15/365)</f>
        <v>1608.4295117849756</v>
      </c>
    </row>
    <row r="8" spans="1:15" x14ac:dyDescent="0.25">
      <c r="A8" t="s">
        <v>28</v>
      </c>
      <c r="C8" s="14"/>
      <c r="D8" s="12">
        <v>320.36</v>
      </c>
      <c r="E8" s="12">
        <v>257.27</v>
      </c>
      <c r="F8" s="12">
        <v>331.93</v>
      </c>
      <c r="G8" s="12">
        <v>328.94</v>
      </c>
      <c r="H8" s="12">
        <v>393.33</v>
      </c>
      <c r="I8" s="13">
        <v>448.61</v>
      </c>
      <c r="J8" s="9">
        <f>'Income Statement'!J5*(Assumptions!C14/365)</f>
        <v>462.63628109589047</v>
      </c>
      <c r="K8" s="9">
        <f>'Income Statement'!K5*(Assumptions!C14/365)</f>
        <v>495.02082077260286</v>
      </c>
      <c r="L8" s="9">
        <f>'Income Statement'!L5*(Assumptions!C14/365)</f>
        <v>534.62248643441114</v>
      </c>
      <c r="M8" s="9">
        <f>'Income Statement'!M5*(Assumptions!C14/365)</f>
        <v>582.73851021350822</v>
      </c>
      <c r="N8" s="9">
        <f>'Income Statement'!N5*(Assumptions!C14/365)</f>
        <v>635.18497613272393</v>
      </c>
    </row>
    <row r="9" spans="1:15" x14ac:dyDescent="0.25">
      <c r="A9" t="s">
        <v>29</v>
      </c>
      <c r="C9" s="14"/>
      <c r="D9" s="12">
        <f xml:space="preserve"> 42.46+142.17</f>
        <v>184.63</v>
      </c>
      <c r="E9" s="12">
        <f>105.98+ 122.01</f>
        <v>227.99</v>
      </c>
      <c r="F9" s="12">
        <f xml:space="preserve"> 126.34 +99.18</f>
        <v>225.52</v>
      </c>
      <c r="G9" s="12">
        <f>48.56 +180.74</f>
        <v>229.3</v>
      </c>
      <c r="H9" s="12">
        <f xml:space="preserve"> 58.68+ 133.71</f>
        <v>192.39000000000001</v>
      </c>
      <c r="I9" s="13">
        <f>42.04 +123.98</f>
        <v>166.02</v>
      </c>
      <c r="J9" s="9">
        <f>'Income Statement'!J5*'Balance Sheet'!J10</f>
        <v>187.62471400000001</v>
      </c>
      <c r="K9" s="9">
        <f>'Income Statement'!K5*'Balance Sheet'!K10</f>
        <v>200.75844398000004</v>
      </c>
      <c r="L9" s="9">
        <f>'Income Statement'!L5*'Balance Sheet'!L10</f>
        <v>216.81911949840008</v>
      </c>
      <c r="M9" s="9">
        <f>'Income Statement'!M5*'Balance Sheet'!M10</f>
        <v>236.33284025325611</v>
      </c>
      <c r="N9" s="9">
        <f>'Income Statement'!N5*'Balance Sheet'!N10</f>
        <v>257.60279587604919</v>
      </c>
    </row>
    <row r="10" spans="1:15" s="14" customFormat="1" x14ac:dyDescent="0.25">
      <c r="A10" s="14" t="s">
        <v>70</v>
      </c>
      <c r="D10" s="15">
        <f>D9/'Income Statement'!D5</f>
        <v>1.6133359081928592E-2</v>
      </c>
      <c r="E10" s="15">
        <f>E9/'Income Statement'!E5</f>
        <v>1.769691004607608E-2</v>
      </c>
      <c r="F10" s="15">
        <f>F9/'Income Statement'!F5</f>
        <v>1.6172487409167803E-2</v>
      </c>
      <c r="G10" s="15">
        <f>G9/'Income Statement'!G5</f>
        <v>1.4344787893574563E-2</v>
      </c>
      <c r="H10" s="15">
        <f>H9/'Income Statement'!H5</f>
        <v>1.1627436131899694E-2</v>
      </c>
      <c r="I10" s="16">
        <f>I9/'Income Statement'!I5</f>
        <v>9.467910501385228E-3</v>
      </c>
      <c r="J10" s="14">
        <v>0.01</v>
      </c>
      <c r="K10" s="14">
        <v>0.01</v>
      </c>
      <c r="L10" s="14">
        <v>0.01</v>
      </c>
      <c r="M10" s="14">
        <v>0.01</v>
      </c>
      <c r="N10" s="14">
        <v>0.01</v>
      </c>
    </row>
    <row r="11" spans="1:15" x14ac:dyDescent="0.25">
      <c r="A11" t="s">
        <v>31</v>
      </c>
      <c r="C11" s="14"/>
      <c r="D11" s="12">
        <v>81.23</v>
      </c>
      <c r="E11" s="12">
        <v>142.74</v>
      </c>
      <c r="F11" s="12">
        <v>117.99</v>
      </c>
      <c r="G11" s="12">
        <v>102.38</v>
      </c>
      <c r="H11" s="12">
        <v>322.8</v>
      </c>
      <c r="I11" s="13">
        <v>132.78</v>
      </c>
      <c r="J11" s="9">
        <f>I11+'Cash Flow'!J10</f>
        <v>695.65414199999998</v>
      </c>
      <c r="K11" s="9">
        <f>J11+'Cash Flow'!K10</f>
        <v>1297.9294739400002</v>
      </c>
      <c r="L11" s="9">
        <f>K11+'Cash Flow'!L10</f>
        <v>1948.3868324352004</v>
      </c>
      <c r="M11" s="9">
        <f>L11+'Cash Flow'!M10</f>
        <v>2657.385353194969</v>
      </c>
      <c r="N11" s="9">
        <f>M11+'Cash Flow'!N10</f>
        <v>3430.1937408231165</v>
      </c>
    </row>
    <row r="12" spans="1:15" x14ac:dyDescent="0.25">
      <c r="A12" t="s">
        <v>30</v>
      </c>
      <c r="C12" s="17"/>
      <c r="D12" s="12">
        <f>SUM(D6:D9)+D11</f>
        <v>3043.55</v>
      </c>
      <c r="E12" s="12">
        <f>SUM(E6:E9)+E11</f>
        <v>3353.79</v>
      </c>
      <c r="F12" s="12">
        <f>SUM(F6:F9)+F11</f>
        <v>3626.9799999999996</v>
      </c>
      <c r="G12" s="12">
        <f t="shared" ref="G12:N12" si="0">SUM(G6:G9)+G11</f>
        <v>4326.07</v>
      </c>
      <c r="H12" s="12">
        <f t="shared" si="0"/>
        <v>4692.68</v>
      </c>
      <c r="I12" s="13">
        <f t="shared" si="0"/>
        <v>4718.53</v>
      </c>
      <c r="J12" s="12">
        <f t="shared" si="0"/>
        <v>5439.6477228931517</v>
      </c>
      <c r="K12" s="12">
        <f t="shared" si="0"/>
        <v>6370.204619495672</v>
      </c>
      <c r="L12" s="12">
        <f t="shared" si="0"/>
        <v>7393.4236564953262</v>
      </c>
      <c r="M12" s="12">
        <f t="shared" si="0"/>
        <v>8528.2252267007061</v>
      </c>
      <c r="N12" s="12">
        <f t="shared" si="0"/>
        <v>9765.1589382245693</v>
      </c>
    </row>
    <row r="13" spans="1:15" x14ac:dyDescent="0.25">
      <c r="D13" s="12"/>
      <c r="E13" s="12"/>
      <c r="F13" s="12"/>
      <c r="G13" s="12"/>
      <c r="H13" s="12"/>
      <c r="I13" s="13"/>
      <c r="J13" s="9"/>
      <c r="K13" s="9"/>
      <c r="L13" s="9"/>
      <c r="M13" s="9"/>
      <c r="N13" s="9"/>
      <c r="O13" s="24"/>
    </row>
    <row r="14" spans="1:15" x14ac:dyDescent="0.25">
      <c r="A14" t="s">
        <v>37</v>
      </c>
      <c r="D14" s="12"/>
      <c r="E14" s="12"/>
      <c r="F14" s="12"/>
      <c r="G14" s="12"/>
      <c r="H14" s="12"/>
      <c r="I14" s="13"/>
      <c r="J14" s="9"/>
      <c r="K14" s="9"/>
      <c r="L14" s="9"/>
      <c r="M14" s="9"/>
      <c r="N14" s="9"/>
    </row>
    <row r="15" spans="1:15" x14ac:dyDescent="0.25">
      <c r="A15" t="s">
        <v>32</v>
      </c>
      <c r="D15" s="12">
        <f>766.06+747.99</f>
        <v>1514.05</v>
      </c>
      <c r="E15" s="12">
        <f>747.75+1339.42</f>
        <v>2087.17</v>
      </c>
      <c r="F15" s="12">
        <f>706.99+13.76+1758.55+1.9</f>
        <v>2481.2000000000003</v>
      </c>
      <c r="G15" s="12">
        <f>1551.8+14.36+1428.71+2.5</f>
        <v>2997.37</v>
      </c>
      <c r="H15" s="12">
        <f>904.72+20.13+1136.49+3.62</f>
        <v>2064.96</v>
      </c>
      <c r="I15" s="13">
        <f xml:space="preserve"> 712.94 +19.45+ 511.83+ 2.29</f>
        <v>1246.51</v>
      </c>
      <c r="J15" s="9">
        <v>1246.51</v>
      </c>
      <c r="K15" s="9">
        <v>1246.51</v>
      </c>
      <c r="L15" s="9">
        <v>1246.51</v>
      </c>
      <c r="M15" s="9">
        <v>1246.51</v>
      </c>
      <c r="N15" s="9">
        <v>1246.51</v>
      </c>
    </row>
    <row r="16" spans="1:15" x14ac:dyDescent="0.25">
      <c r="A16" t="s">
        <v>33</v>
      </c>
      <c r="D16" s="12">
        <f>8.53+1107.75</f>
        <v>1116.28</v>
      </c>
      <c r="E16" s="12">
        <f>28.44+1286.31</f>
        <v>1314.75</v>
      </c>
      <c r="F16" s="12">
        <f>62.76+1222.46</f>
        <v>1285.22</v>
      </c>
      <c r="G16" s="12">
        <f>43.92+1404.89</f>
        <v>1448.8100000000002</v>
      </c>
      <c r="H16" s="12">
        <f>30.83+1596.65</f>
        <v>1627.48</v>
      </c>
      <c r="I16" s="13">
        <f>27.83+1724.4</f>
        <v>1752.23</v>
      </c>
      <c r="J16" s="9">
        <f>'Income Statement'!J7*(Assumptions!C16/365)</f>
        <v>1634.6481932054796</v>
      </c>
      <c r="K16" s="9">
        <f>'Income Statement'!K7*(Assumptions!C16/365)</f>
        <v>1749.0735667298634</v>
      </c>
      <c r="L16" s="9">
        <f>'Income Statement'!L7*(Assumptions!C16/365)</f>
        <v>1888.9994520682528</v>
      </c>
      <c r="M16" s="9">
        <f>'Income Statement'!M7*(Assumptions!C16/365)</f>
        <v>2059.0094027543955</v>
      </c>
      <c r="N16" s="9">
        <f>'Income Statement'!N7*(Assumptions!C16/365)</f>
        <v>2244.3202490022913</v>
      </c>
    </row>
    <row r="17" spans="1:14" x14ac:dyDescent="0.25">
      <c r="A17" t="s">
        <v>34</v>
      </c>
      <c r="D17" s="12">
        <v>150.08000000000001</v>
      </c>
      <c r="E17" s="12">
        <v>140.54</v>
      </c>
      <c r="F17" s="12">
        <v>126.71</v>
      </c>
      <c r="G17" s="12">
        <v>176.34</v>
      </c>
      <c r="H17" s="12">
        <v>167.29</v>
      </c>
      <c r="I17" s="13">
        <v>194.7</v>
      </c>
      <c r="J17" s="9">
        <f>'Income Statement'!J5*'Balance Sheet'!J18</f>
        <v>187.62471400000001</v>
      </c>
      <c r="K17" s="9">
        <f>'Income Statement'!K5*'Balance Sheet'!K18</f>
        <v>200.75844398000004</v>
      </c>
      <c r="L17" s="9">
        <f>'Income Statement'!L5*'Balance Sheet'!L18</f>
        <v>216.81911949840008</v>
      </c>
      <c r="M17" s="9">
        <f>'Income Statement'!M5*'Balance Sheet'!M18</f>
        <v>236.33284025325611</v>
      </c>
      <c r="N17" s="9">
        <f>'Income Statement'!N5*'Balance Sheet'!N18</f>
        <v>257.60279587604919</v>
      </c>
    </row>
    <row r="18" spans="1:14" s="14" customFormat="1" x14ac:dyDescent="0.25">
      <c r="A18" s="14" t="s">
        <v>71</v>
      </c>
      <c r="D18" s="15">
        <f>D17/'Income Statement'!D5</f>
        <v>1.3114307160352291E-2</v>
      </c>
      <c r="E18" s="15">
        <f>E17/'Income Statement'!E5</f>
        <v>1.0908915908046546E-2</v>
      </c>
      <c r="F18" s="15">
        <f>F17/'Income Statement'!F5</f>
        <v>9.0866259294769963E-3</v>
      </c>
      <c r="G18" s="15">
        <f>G17/'Income Statement'!G5</f>
        <v>1.103166113019162E-2</v>
      </c>
      <c r="H18" s="15">
        <f>H17/'Income Statement'!H5</f>
        <v>1.011047242842923E-2</v>
      </c>
      <c r="I18" s="16">
        <f>I17/'Income Statement'!I5</f>
        <v>1.1103494606792578E-2</v>
      </c>
      <c r="J18" s="14">
        <v>0.01</v>
      </c>
      <c r="K18" s="14">
        <v>0.01</v>
      </c>
      <c r="L18" s="14">
        <v>0.01</v>
      </c>
      <c r="M18" s="14">
        <v>0.01</v>
      </c>
      <c r="N18" s="14">
        <v>0.01</v>
      </c>
    </row>
    <row r="19" spans="1:14" x14ac:dyDescent="0.25">
      <c r="A19" t="s">
        <v>35</v>
      </c>
      <c r="D19" s="12">
        <f>SUM(D15:D17)</f>
        <v>2780.41</v>
      </c>
      <c r="E19" s="12">
        <f t="shared" ref="E19:N19" si="1">SUM(E15:E17)</f>
        <v>3542.46</v>
      </c>
      <c r="F19" s="12">
        <f t="shared" si="1"/>
        <v>3893.13</v>
      </c>
      <c r="G19" s="12">
        <f t="shared" si="1"/>
        <v>4622.5200000000004</v>
      </c>
      <c r="H19" s="12">
        <f t="shared" si="1"/>
        <v>3859.73</v>
      </c>
      <c r="I19" s="13">
        <f t="shared" si="1"/>
        <v>3193.4399999999996</v>
      </c>
      <c r="J19" s="9">
        <f>SUM(J15:J17)</f>
        <v>3068.7829072054797</v>
      </c>
      <c r="K19" s="9">
        <f t="shared" si="1"/>
        <v>3196.3420107098636</v>
      </c>
      <c r="L19" s="9">
        <f t="shared" si="1"/>
        <v>3352.328571566653</v>
      </c>
      <c r="M19" s="9">
        <f t="shared" si="1"/>
        <v>3541.8522430076519</v>
      </c>
      <c r="N19" s="9">
        <f t="shared" si="1"/>
        <v>3748.4330448783408</v>
      </c>
    </row>
    <row r="20" spans="1:14" x14ac:dyDescent="0.25">
      <c r="D20" s="12"/>
      <c r="E20" s="12"/>
      <c r="F20" s="12"/>
      <c r="G20" s="12"/>
      <c r="H20" s="12"/>
      <c r="I20" s="13"/>
      <c r="J20" s="9"/>
      <c r="K20" s="9"/>
      <c r="L20" s="9"/>
      <c r="M20" s="9"/>
      <c r="N20" s="9"/>
    </row>
    <row r="21" spans="1:14" x14ac:dyDescent="0.25">
      <c r="A21" t="s">
        <v>40</v>
      </c>
      <c r="D21" s="12"/>
      <c r="E21" s="12"/>
      <c r="F21" s="12"/>
      <c r="G21" s="12"/>
      <c r="H21" s="12"/>
      <c r="I21" s="13"/>
      <c r="J21" s="9"/>
      <c r="K21" s="9"/>
      <c r="L21" s="9"/>
      <c r="M21" s="9"/>
      <c r="N21" s="9"/>
    </row>
    <row r="22" spans="1:14" x14ac:dyDescent="0.25">
      <c r="A22" t="s">
        <v>38</v>
      </c>
      <c r="D22" s="12">
        <v>24.05</v>
      </c>
      <c r="E22" s="12">
        <v>24.09</v>
      </c>
      <c r="F22" s="12">
        <v>24.09</v>
      </c>
      <c r="G22" s="12">
        <v>24.09</v>
      </c>
      <c r="H22" s="12">
        <v>24.09</v>
      </c>
      <c r="I22" s="13">
        <v>24.09</v>
      </c>
      <c r="J22" s="9">
        <v>24.09</v>
      </c>
      <c r="K22" s="9">
        <v>24.09</v>
      </c>
      <c r="L22" s="9">
        <v>24.09</v>
      </c>
      <c r="M22" s="9">
        <v>24.09</v>
      </c>
      <c r="N22" s="9">
        <v>24.09</v>
      </c>
    </row>
    <row r="23" spans="1:14" x14ac:dyDescent="0.25">
      <c r="A23" t="s">
        <v>39</v>
      </c>
      <c r="D23" s="12">
        <v>4378.78</v>
      </c>
      <c r="E23" s="12">
        <v>3523.57</v>
      </c>
      <c r="F23" s="12">
        <v>2534.0100000000002</v>
      </c>
      <c r="G23" s="12">
        <v>3510.18</v>
      </c>
      <c r="H23" s="12">
        <v>3917.43</v>
      </c>
      <c r="I23" s="13">
        <v>4331.63</v>
      </c>
      <c r="J23" s="9">
        <f>I23+'Income Statement'!J25</f>
        <v>7483.7251951999997</v>
      </c>
      <c r="K23" s="9">
        <f>J23+'Income Statement'!K25</f>
        <v>10856.467054064</v>
      </c>
      <c r="L23" s="9">
        <f>K23+'Income Statement'!L25</f>
        <v>14499.028261637119</v>
      </c>
      <c r="M23" s="9">
        <f>L23+'Income Statement'!M25</f>
        <v>18469.419977891819</v>
      </c>
      <c r="N23" s="9">
        <f>M23+'Income Statement'!N25</f>
        <v>22797.146948609443</v>
      </c>
    </row>
    <row r="24" spans="1:14" x14ac:dyDescent="0.25">
      <c r="A24" t="s">
        <v>41</v>
      </c>
      <c r="D24" s="12">
        <f>SUM(D22:D23)</f>
        <v>4402.83</v>
      </c>
      <c r="E24" s="12">
        <f t="shared" ref="E24:N24" si="2">SUM(E22:E23)</f>
        <v>3547.6600000000003</v>
      </c>
      <c r="F24" s="12">
        <f t="shared" si="2"/>
        <v>2558.1000000000004</v>
      </c>
      <c r="G24" s="12">
        <f t="shared" si="2"/>
        <v>3534.27</v>
      </c>
      <c r="H24" s="12">
        <f t="shared" si="2"/>
        <v>3941.52</v>
      </c>
      <c r="I24" s="13">
        <f t="shared" si="2"/>
        <v>4355.72</v>
      </c>
      <c r="J24" s="9">
        <f t="shared" si="2"/>
        <v>7507.8151951999998</v>
      </c>
      <c r="K24" s="9">
        <f t="shared" si="2"/>
        <v>10880.557054064</v>
      </c>
      <c r="L24" s="9">
        <f t="shared" si="2"/>
        <v>14523.118261637119</v>
      </c>
      <c r="M24" s="9">
        <f t="shared" si="2"/>
        <v>18493.509977891819</v>
      </c>
      <c r="N24" s="9">
        <f t="shared" si="2"/>
        <v>22821.236948609443</v>
      </c>
    </row>
    <row r="25" spans="1:14" x14ac:dyDescent="0.25">
      <c r="D25" s="12"/>
      <c r="E25" s="12"/>
      <c r="F25" s="12"/>
      <c r="G25" s="12"/>
      <c r="H25" s="12"/>
      <c r="I25" s="13"/>
      <c r="J25" s="9"/>
      <c r="K25" s="9"/>
      <c r="L25" s="9"/>
      <c r="M25" s="9"/>
      <c r="N25" s="9"/>
    </row>
    <row r="26" spans="1:14" x14ac:dyDescent="0.25">
      <c r="A26" t="s">
        <v>68</v>
      </c>
      <c r="D26" s="12">
        <f>D8+D7-D16</f>
        <v>-54.959999999999809</v>
      </c>
      <c r="E26" s="12">
        <f t="shared" ref="E26:N26" si="3">E8+E7-E16</f>
        <v>34.009999999999991</v>
      </c>
      <c r="F26" s="12">
        <f t="shared" si="3"/>
        <v>414.20000000000005</v>
      </c>
      <c r="G26" s="12">
        <f t="shared" si="3"/>
        <v>73.389999999999873</v>
      </c>
      <c r="H26" s="12">
        <f t="shared" si="3"/>
        <v>-52.930000000000064</v>
      </c>
      <c r="I26" s="13">
        <f t="shared" si="3"/>
        <v>-67.110000000000127</v>
      </c>
      <c r="J26" s="9">
        <f t="shared" si="3"/>
        <v>-0.51404031232846137</v>
      </c>
      <c r="K26" s="9">
        <f t="shared" si="3"/>
        <v>-0.55002313419186066</v>
      </c>
      <c r="L26" s="9">
        <f t="shared" si="3"/>
        <v>-0.59402498492704581</v>
      </c>
      <c r="M26" s="9">
        <f t="shared" si="3"/>
        <v>-0.64748723357024573</v>
      </c>
      <c r="N26" s="9">
        <f t="shared" si="3"/>
        <v>-0.70576108459181341</v>
      </c>
    </row>
    <row r="27" spans="1:14" x14ac:dyDescent="0.25">
      <c r="A27" t="s">
        <v>69</v>
      </c>
      <c r="D27" s="12"/>
      <c r="E27" s="12">
        <f>E26-D26</f>
        <v>88.9699999999998</v>
      </c>
      <c r="F27" s="12">
        <f t="shared" ref="F27:N27" si="4">F26-E26</f>
        <v>380.19000000000005</v>
      </c>
      <c r="G27" s="12">
        <f t="shared" si="4"/>
        <v>-340.81000000000017</v>
      </c>
      <c r="H27" s="12">
        <f t="shared" si="4"/>
        <v>-126.31999999999994</v>
      </c>
      <c r="I27" s="13">
        <f t="shared" si="4"/>
        <v>-14.180000000000064</v>
      </c>
      <c r="J27" s="9">
        <f t="shared" si="4"/>
        <v>66.595959687671666</v>
      </c>
      <c r="K27" s="9">
        <f t="shared" si="4"/>
        <v>-3.5982821863399295E-2</v>
      </c>
      <c r="L27" s="9">
        <f t="shared" si="4"/>
        <v>-4.4001850735185144E-2</v>
      </c>
      <c r="M27" s="9">
        <f t="shared" si="4"/>
        <v>-5.3462248643199928E-2</v>
      </c>
      <c r="N27" s="9">
        <f t="shared" si="4"/>
        <v>-5.827385102156768E-2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workbookViewId="0">
      <selection activeCell="J12" sqref="J12"/>
    </sheetView>
  </sheetViews>
  <sheetFormatPr defaultRowHeight="15" x14ac:dyDescent="0.25"/>
  <cols>
    <col min="1" max="1" width="30.7109375" customWidth="1"/>
    <col min="7" max="7" width="10.5703125" bestFit="1" customWidth="1"/>
  </cols>
  <sheetData>
    <row r="2" spans="1:7" x14ac:dyDescent="0.25"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</row>
    <row r="3" spans="1:7" ht="18.75" x14ac:dyDescent="0.3">
      <c r="A3" s="7" t="s">
        <v>75</v>
      </c>
      <c r="C3" s="6">
        <v>46112</v>
      </c>
      <c r="D3" s="6">
        <v>46477</v>
      </c>
      <c r="E3" s="6">
        <v>46843</v>
      </c>
      <c r="F3" s="6">
        <v>47208</v>
      </c>
      <c r="G3" s="6">
        <v>47573</v>
      </c>
    </row>
    <row r="4" spans="1:7" x14ac:dyDescent="0.25">
      <c r="C4" s="9"/>
      <c r="D4" s="9"/>
      <c r="E4" s="9"/>
      <c r="F4" s="9"/>
      <c r="G4" s="9"/>
    </row>
    <row r="5" spans="1:7" x14ac:dyDescent="0.25">
      <c r="A5" t="s">
        <v>76</v>
      </c>
      <c r="C5" s="9">
        <f>'Cash Flow'!J12</f>
        <v>2897.8745215123276</v>
      </c>
      <c r="D5" s="9">
        <f>'Cash Flow'!K12</f>
        <v>3172.0193977058643</v>
      </c>
      <c r="E5" s="9">
        <f>'Cash Flow'!L12</f>
        <v>3425.7860899254547</v>
      </c>
      <c r="F5" s="9">
        <f>'Cash Flow'!M12</f>
        <v>3734.1123382500891</v>
      </c>
      <c r="G5" s="9">
        <f>'Cash Flow'!N12</f>
        <v>4070.1824486925975</v>
      </c>
    </row>
    <row r="6" spans="1:7" x14ac:dyDescent="0.25">
      <c r="C6" s="9"/>
      <c r="D6" s="9"/>
      <c r="E6" s="9"/>
      <c r="F6" s="9"/>
      <c r="G6" s="9"/>
    </row>
    <row r="7" spans="1:7" s="9" customFormat="1" x14ac:dyDescent="0.25">
      <c r="A7" s="9" t="s">
        <v>77</v>
      </c>
      <c r="C7" s="9">
        <f>1/(1+Assumptions!C12)^1</f>
        <v>0.90909090909090906</v>
      </c>
      <c r="D7" s="9">
        <f>1/(1+Assumptions!C12)^2</f>
        <v>0.82644628099173545</v>
      </c>
      <c r="E7" s="9">
        <f>1/(1+Assumptions!C12)^3</f>
        <v>0.75131480090157754</v>
      </c>
      <c r="F7" s="9">
        <f>1/(1+Assumptions!C12)^4</f>
        <v>0.68301345536507052</v>
      </c>
      <c r="G7" s="9">
        <f>1/(1+Assumptions!C12)^5</f>
        <v>0.62092132305915493</v>
      </c>
    </row>
    <row r="8" spans="1:7" x14ac:dyDescent="0.25">
      <c r="A8" t="s">
        <v>78</v>
      </c>
      <c r="C8" s="9">
        <f>C5*C7</f>
        <v>2634.4313831930249</v>
      </c>
      <c r="D8" s="9">
        <f t="shared" ref="D8:G8" si="0">D5*D7</f>
        <v>2621.5036344676564</v>
      </c>
      <c r="E8" s="9">
        <f t="shared" si="0"/>
        <v>2573.8437940837366</v>
      </c>
      <c r="F8" s="9">
        <f t="shared" si="0"/>
        <v>2550.4489708695364</v>
      </c>
      <c r="G8" s="9">
        <f t="shared" si="0"/>
        <v>2527.2630711343586</v>
      </c>
    </row>
    <row r="9" spans="1:7" x14ac:dyDescent="0.25">
      <c r="A9" t="s">
        <v>80</v>
      </c>
      <c r="C9" s="9">
        <f>'Cash Flow'!I12*(1+Assumptions!C13)/(Assumptions!C12-Assumptions!C13)</f>
        <v>39234.336266666665</v>
      </c>
      <c r="D9" s="9">
        <f>'Cash Flow'!J12*(1+Assumptions!C13)/(Assumptions!C12-Assumptions!C13)</f>
        <v>50229.825039547017</v>
      </c>
      <c r="E9" s="9">
        <f>'Cash Flow'!K12*(1+Assumptions!C13)/(Assumptions!C12-Assumptions!C13)</f>
        <v>54981.669560234979</v>
      </c>
      <c r="F9" s="9">
        <f>'Cash Flow'!L12*(1+Assumptions!C13)/(Assumptions!C12-Assumptions!C13)</f>
        <v>59380.292225374542</v>
      </c>
      <c r="G9" s="9">
        <f>'Cash Flow'!M12*(1+Assumptions!C13)/(Assumptions!C12-Assumptions!C13)</f>
        <v>64724.613863001541</v>
      </c>
    </row>
    <row r="10" spans="1:7" x14ac:dyDescent="0.25">
      <c r="C10" s="9"/>
      <c r="D10" s="9"/>
      <c r="E10" s="9"/>
      <c r="F10" s="9"/>
      <c r="G10" s="9"/>
    </row>
    <row r="11" spans="1:7" x14ac:dyDescent="0.25">
      <c r="A11" t="s">
        <v>79</v>
      </c>
      <c r="C11" s="9"/>
      <c r="D11" s="9"/>
      <c r="E11" s="9"/>
      <c r="F11" s="9"/>
      <c r="G11" s="22">
        <f>G9*G7</f>
        <v>40188.892874307836</v>
      </c>
    </row>
    <row r="12" spans="1:7" x14ac:dyDescent="0.25">
      <c r="C12" s="9"/>
      <c r="D12" s="9"/>
      <c r="E12" s="9"/>
      <c r="F12" s="9"/>
      <c r="G12" s="9"/>
    </row>
    <row r="13" spans="1:7" x14ac:dyDescent="0.25">
      <c r="A13" t="s">
        <v>81</v>
      </c>
      <c r="C13" s="9"/>
      <c r="D13" s="9"/>
      <c r="E13" s="9"/>
      <c r="F13" s="9"/>
      <c r="G13" s="22">
        <f>12907.49+G11</f>
        <v>53096.382874307834</v>
      </c>
    </row>
    <row r="14" spans="1:7" x14ac:dyDescent="0.25">
      <c r="C14" s="9"/>
      <c r="D14" s="9"/>
      <c r="E14" s="9"/>
      <c r="F14" s="9"/>
      <c r="G14" s="9"/>
    </row>
    <row r="15" spans="1:7" x14ac:dyDescent="0.25">
      <c r="A15" t="s">
        <v>82</v>
      </c>
      <c r="C15" s="9"/>
      <c r="D15" s="9"/>
      <c r="E15" s="9"/>
      <c r="F15" s="9"/>
      <c r="G15" s="22">
        <f>G13+('Balance Sheet'!N15-'Balance Sheet'!N11)</f>
        <v>50912.699133484719</v>
      </c>
    </row>
    <row r="16" spans="1:7" x14ac:dyDescent="0.25">
      <c r="C16" s="9"/>
      <c r="D16" s="9"/>
      <c r="E16" s="9"/>
      <c r="F16" s="9"/>
      <c r="G16" s="9"/>
    </row>
    <row r="17" spans="1:7" x14ac:dyDescent="0.25">
      <c r="A17" t="s">
        <v>83</v>
      </c>
      <c r="C17" s="9"/>
      <c r="D17" s="9"/>
      <c r="E17" s="9"/>
      <c r="F17" s="9"/>
      <c r="G17" s="23">
        <f>G13/24.09</f>
        <v>2204.0839715362322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Assumptions</vt:lpstr>
      <vt:lpstr>Income Statement</vt:lpstr>
      <vt:lpstr>Cash Flow</vt:lpstr>
      <vt:lpstr>Balance Sheet</vt:lpstr>
      <vt:lpstr>DCF Valution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2026-05-01T19:31:37Z</dcterms:created>
  <dcterms:modified xsi:type="dcterms:W3CDTF">2026-06-27T15:52:09Z</dcterms:modified>
</cp:coreProperties>
</file>